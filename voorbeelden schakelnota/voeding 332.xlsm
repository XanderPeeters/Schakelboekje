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earetag-my.sharepoint.com/personal/b_wuyts_tag-team_be/Documents/Documents/Project De Lijn/Voorbeelden schakelnota's/"/>
    </mc:Choice>
  </mc:AlternateContent>
  <xr:revisionPtr revIDLastSave="0" documentId="8_{B7B6795B-86FC-4ACB-B3F2-7BAB0173045A}" xr6:coauthVersionLast="47" xr6:coauthVersionMax="47" xr10:uidLastSave="{00000000-0000-0000-0000-000000000000}"/>
  <bookViews>
    <workbookView xWindow="-108" yWindow="-108" windowWidth="23256" windowHeight="12456" xr2:uid="{6CBBB8A5-7C27-440C-8AFF-5352493DD25B}"/>
  </bookViews>
  <sheets>
    <sheet name="Dienstnota" sheetId="1" r:id="rId1"/>
    <sheet name="Blad2" sheetId="2" r:id="rId2"/>
  </sheets>
  <definedNames>
    <definedName name="_xlnm.Print_Area" localSheetId="0">Dienstnota!$A$1:$I$209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2" i="2" l="1"/>
  <c r="F183" i="1"/>
  <c r="F185" i="1"/>
  <c r="F184" i="1"/>
  <c r="B66" i="2"/>
  <c r="B67" i="2"/>
  <c r="B68" i="2"/>
  <c r="B69" i="2"/>
  <c r="B65" i="2"/>
  <c r="D12" i="2"/>
  <c r="A150" i="1"/>
  <c r="A151" i="1"/>
  <c r="F29" i="1"/>
  <c r="F26" i="1"/>
  <c r="F25" i="1"/>
  <c r="C2" i="2"/>
  <c r="B7" i="2"/>
  <c r="B1" i="2"/>
  <c r="B10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Gino Henderyck</author>
  </authors>
  <commentList>
    <comment ref="B7" authorId="0" shapeId="0" xr:uid="{0D07A622-0712-4727-B1BD-96E073854E82}">
      <text>
        <r>
          <rPr>
            <b/>
            <sz val="9"/>
            <color indexed="81"/>
            <rFont val="Tahoma"/>
            <family val="2"/>
          </rPr>
          <t>Gino Henderyck:</t>
        </r>
        <r>
          <rPr>
            <sz val="9"/>
            <color indexed="81"/>
            <rFont val="Tahoma"/>
            <family val="2"/>
          </rPr>
          <t xml:space="preserve">
0 = dagwerk, 1 = nachtwerk
</t>
        </r>
      </text>
    </comment>
  </commentList>
</comments>
</file>

<file path=xl/sharedStrings.xml><?xml version="1.0" encoding="utf-8"?>
<sst xmlns="http://schemas.openxmlformats.org/spreadsheetml/2006/main" count="202" uniqueCount="141">
  <si>
    <t>ter informatie</t>
  </si>
  <si>
    <t>Ingangsdatum:</t>
  </si>
  <si>
    <t>geldig t.e.m.:</t>
  </si>
  <si>
    <t>Aan:</t>
  </si>
  <si>
    <t>TCC</t>
  </si>
  <si>
    <t>Vanwege:</t>
  </si>
  <si>
    <t>Service Traminfra Antwerpen</t>
  </si>
  <si>
    <t>Verspreiding:</t>
  </si>
  <si>
    <t>Afdeling:</t>
  </si>
  <si>
    <t>Traminfra Antwerpen TEMU</t>
  </si>
  <si>
    <t>Contactpersooon:</t>
  </si>
  <si>
    <t>Entiteiten:</t>
  </si>
  <si>
    <t xml:space="preserve"> /</t>
  </si>
  <si>
    <t>Dana Winters, Teamcoördinator</t>
  </si>
  <si>
    <t>Derden:</t>
  </si>
  <si>
    <t>Traminfra Antwerpen</t>
  </si>
  <si>
    <t>0477/98.10.25</t>
  </si>
  <si>
    <t>Dienstorder (te vermelden bij verdere communicatie):</t>
  </si>
  <si>
    <t>DL/ANT/TEMU/</t>
  </si>
  <si>
    <t>Algemene info:</t>
  </si>
  <si>
    <t>DE WERKEN WORDEN STEEDS AAN- EN AFGEMELD AAN TCC OP 03/218.13.10</t>
  </si>
  <si>
    <t>Datum van:</t>
  </si>
  <si>
    <t>Datum tot:</t>
  </si>
  <si>
    <t>Uur aanvang:²</t>
  </si>
  <si>
    <t>Uur einde:²</t>
  </si>
  <si>
    <t>Naam firma:</t>
  </si>
  <si>
    <t>Naam werfverantwoordelijke:</t>
  </si>
  <si>
    <t xml:space="preserve"> </t>
  </si>
  <si>
    <t>GSM werfverantwoordelijke:</t>
  </si>
  <si>
    <t>Mail werfverantwoordelijke:</t>
  </si>
  <si>
    <t>Omschrijving opdracht:</t>
  </si>
  <si>
    <t>Zone/Locatie van de werken</t>
  </si>
  <si>
    <t>Werken in de Pre Metro</t>
  </si>
  <si>
    <t>Spoorbelemmering:</t>
  </si>
  <si>
    <t>Spanningsloos schakelen voedingskabels:</t>
  </si>
  <si>
    <t/>
  </si>
  <si>
    <t>²Aanvang - en einduur zijn richttijden, waarbij exploitatie altijd voorrang heeft.</t>
  </si>
  <si>
    <t>Technische info:</t>
  </si>
  <si>
    <t>Opdracht voor TCC:</t>
  </si>
  <si>
    <t>TS</t>
  </si>
  <si>
    <t>Feeders</t>
  </si>
  <si>
    <t>Hangslotnr DL</t>
  </si>
  <si>
    <t>Tijdslot</t>
  </si>
  <si>
    <t>Schakelen Bovenleiding</t>
  </si>
  <si>
    <t>Dag of nachtwerk</t>
  </si>
  <si>
    <t>Aantal dagen</t>
  </si>
  <si>
    <t>Werken Pre Metro</t>
  </si>
  <si>
    <t>Spoorbelemmering</t>
  </si>
  <si>
    <t>Schakelen voedingskabels</t>
  </si>
  <si>
    <t>BA5 Personeel</t>
  </si>
  <si>
    <t>GH</t>
  </si>
  <si>
    <t>Info</t>
  </si>
  <si>
    <t>Hoofdfeeder</t>
  </si>
  <si>
    <t>Randfeeder</t>
  </si>
  <si>
    <t>Ophalen sleutel TCC door aanvrager</t>
  </si>
  <si>
    <t>Sectiemes</t>
  </si>
  <si>
    <t>Spanningsloos schakelen bovenleiding:</t>
  </si>
  <si>
    <t>Opdracht voor Technici De Lijn (tweede en/of derde man PM):</t>
  </si>
  <si>
    <t>Feeders/sectiemessen</t>
  </si>
  <si>
    <t>Opmerkingen voor TCC en Technici De Lijn:</t>
  </si>
  <si>
    <t>Opdracht voor de aanvrager:</t>
  </si>
  <si>
    <t>voedingsmes</t>
  </si>
  <si>
    <t>Openen</t>
  </si>
  <si>
    <t>Sluiten</t>
  </si>
  <si>
    <t>Soort schakelaar</t>
  </si>
  <si>
    <t>schakelaar nummer</t>
  </si>
  <si>
    <t>Controle Open stand</t>
  </si>
  <si>
    <t>Controle Gesloten stand</t>
  </si>
  <si>
    <t>Handeling</t>
  </si>
  <si>
    <t>Opmerkingen voor aanvrager:</t>
  </si>
  <si>
    <t>DW</t>
  </si>
  <si>
    <t>OB</t>
  </si>
  <si>
    <t>Spoorvoertuig in de metro</t>
  </si>
  <si>
    <t>Gekoppelde Feeders</t>
  </si>
  <si>
    <t>Inschakelen</t>
  </si>
  <si>
    <t>Uitschakelen</t>
  </si>
  <si>
    <t>Gekoppeld via S … met F …</t>
  </si>
  <si>
    <t>Feeder Inrijden</t>
  </si>
  <si>
    <t>Feeder Uitrijden</t>
  </si>
  <si>
    <t>Voedingskabel aankoppelen</t>
  </si>
  <si>
    <t>Voedingskabel loskoppelen</t>
  </si>
  <si>
    <t>Feeder Uitrijden + LoTo</t>
  </si>
  <si>
    <t>Opdracht andere:</t>
  </si>
  <si>
    <t>Dienst/Firma</t>
  </si>
  <si>
    <t>Omschrijving opdracht</t>
  </si>
  <si>
    <t>Afdruk Schakelboek bij uitschakeling bovenleiding/voedingskabels/Tractiestation</t>
  </si>
  <si>
    <t>Sectie/voedingsmes</t>
  </si>
  <si>
    <t>Controle Spanning afw</t>
  </si>
  <si>
    <t>Meten</t>
  </si>
  <si>
    <t>Groepen</t>
  </si>
  <si>
    <t>Groepen uitschakelen + LoTo</t>
  </si>
  <si>
    <t>Groepen inschakelen</t>
  </si>
  <si>
    <t>KK</t>
  </si>
  <si>
    <t>Spoorvoertuig in de metro:</t>
  </si>
  <si>
    <t>Openen + LoTo</t>
  </si>
  <si>
    <t>Afbakenen</t>
  </si>
  <si>
    <t>Voedingszone</t>
  </si>
  <si>
    <t>Werkmannetje/noodpadverlichting</t>
  </si>
  <si>
    <t>Kortsluiten</t>
  </si>
  <si>
    <t>Stratenplan aangevraagde werfzone.</t>
  </si>
  <si>
    <t>Controle spanning AAN</t>
  </si>
  <si>
    <t>Kortsluiten verwijderen</t>
  </si>
  <si>
    <t>Schakelbevoegd Personeel:</t>
  </si>
  <si>
    <t>Naam Schakelbevoegd Personeel:</t>
  </si>
  <si>
    <t>Attestnr Schakelbevoegd Personeel:</t>
  </si>
  <si>
    <t>Voor de aannemers</t>
  </si>
  <si>
    <t>Meten Bovenleiding</t>
  </si>
  <si>
    <t>Vergrendelen voedingsmessen</t>
  </si>
  <si>
    <t>Vrijgave na einde werken</t>
  </si>
  <si>
    <t>Voor TCC</t>
  </si>
  <si>
    <t>Schakelen op afstand</t>
  </si>
  <si>
    <t>Fysieke barriére</t>
  </si>
  <si>
    <t>Bericht: Vergunning Traminfrastructuur Zone Oost</t>
  </si>
  <si>
    <t>Aantal hangsloten:</t>
  </si>
  <si>
    <t>Aantal kortsluitverbindingen:</t>
  </si>
  <si>
    <t>Aantal afbakeningen/kegels:</t>
  </si>
  <si>
    <t>Sluiten + LoTo</t>
  </si>
  <si>
    <t>Meten spanning afwezig</t>
  </si>
  <si>
    <t>De Lijn Bovenleiding</t>
  </si>
  <si>
    <t>V102</t>
  </si>
  <si>
    <t>V013</t>
  </si>
  <si>
    <t>PM013-102A &amp; B</t>
  </si>
  <si>
    <t>Gelieve contact te nemen met TCC op tel 03/218.13.10 tussen volgende uren om je werken aan te kondigen:</t>
  </si>
  <si>
    <t>Van:</t>
  </si>
  <si>
    <t>Tot:</t>
  </si>
  <si>
    <t>V011</t>
  </si>
  <si>
    <t>V012</t>
  </si>
  <si>
    <t>V015</t>
  </si>
  <si>
    <t>V101</t>
  </si>
  <si>
    <t>PM011-013</t>
  </si>
  <si>
    <t>PM013-012</t>
  </si>
  <si>
    <t>PM101-013</t>
  </si>
  <si>
    <t>PM013-015</t>
  </si>
  <si>
    <t>Eduardo Jovita</t>
  </si>
  <si>
    <t>0477/953 597</t>
  </si>
  <si>
    <t>eduardo.jovita@delijn.be</t>
  </si>
  <si>
    <t>Monteren Sectie-Isolator</t>
  </si>
  <si>
    <t>Astrid - Opera + Astrid - Diamant</t>
  </si>
  <si>
    <t>F332</t>
  </si>
  <si>
    <t>F333</t>
  </si>
  <si>
    <t>F331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</si>
</sst>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General\ &quot; kegel(s)&quot;"/>
    <numFmt numFmtId="166" formatCode="General\ &quot; hangslot(en)&quot;"/>
    <numFmt numFmtId="167" formatCode="General\ &quot; kortsluitverbinding(en)&quot;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tted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01">
    <xf numFmtId="0" fontId="0" fillId="0" borderId="0" xfId="0"/>
    <xf numFmtId="0" fontId="0" fillId="2" borderId="0" xfId="0" applyFill="1"/>
    <xf numFmtId="0" fontId="4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0" fillId="2" borderId="2" xfId="0" applyFill="1" applyBorder="1"/>
    <xf numFmtId="0" fontId="6" fillId="2" borderId="0" xfId="0" applyFont="1" applyFill="1"/>
    <xf numFmtId="0" fontId="0" fillId="2" borderId="0" xfId="0" applyFill="1" applyProtection="1">
      <protection locked="0"/>
    </xf>
    <xf numFmtId="0" fontId="7" fillId="2" borderId="0" xfId="0" applyFont="1" applyFill="1"/>
    <xf numFmtId="0" fontId="0" fillId="2" borderId="4" xfId="0" applyFill="1" applyBorder="1"/>
    <xf numFmtId="0" fontId="1" fillId="2" borderId="0" xfId="0" applyFont="1" applyFill="1"/>
    <xf numFmtId="0" fontId="0" fillId="2" borderId="0" xfId="0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20" fontId="0" fillId="0" borderId="0" xfId="0" applyNumberFormat="1"/>
    <xf numFmtId="0" fontId="8" fillId="2" borderId="0" xfId="0" applyFont="1" applyFill="1" applyAlignment="1" applyProtection="1">
      <alignment horizontal="right"/>
      <protection locked="0"/>
    </xf>
    <xf numFmtId="164" fontId="8" fillId="2" borderId="0" xfId="0" applyNumberFormat="1" applyFont="1" applyFill="1" applyAlignment="1" applyProtection="1">
      <alignment horizontal="left"/>
      <protection locked="0"/>
    </xf>
    <xf numFmtId="0" fontId="8" fillId="2" borderId="0" xfId="0" applyFont="1" applyFill="1"/>
    <xf numFmtId="14" fontId="0" fillId="2" borderId="0" xfId="0" applyNumberFormat="1" applyFill="1"/>
    <xf numFmtId="0" fontId="14" fillId="2" borderId="4" xfId="0" applyFont="1" applyFill="1" applyBorder="1"/>
    <xf numFmtId="0" fontId="14" fillId="2" borderId="4" xfId="0" applyFont="1" applyFill="1" applyBorder="1" applyAlignment="1" applyProtection="1">
      <alignment wrapText="1"/>
      <protection locked="0"/>
    </xf>
    <xf numFmtId="0" fontId="11" fillId="2" borderId="0" xfId="1" applyFill="1"/>
    <xf numFmtId="0" fontId="1" fillId="2" borderId="11" xfId="0" applyFont="1" applyFill="1" applyBorder="1" applyAlignment="1" applyProtection="1">
      <alignment wrapText="1"/>
      <protection locked="0"/>
    </xf>
    <xf numFmtId="0" fontId="0" fillId="2" borderId="11" xfId="0" applyFill="1" applyBorder="1" applyAlignment="1" applyProtection="1">
      <alignment vertical="top" wrapText="1"/>
      <protection locked="0"/>
    </xf>
    <xf numFmtId="0" fontId="0" fillId="2" borderId="12" xfId="0" applyFill="1" applyBorder="1" applyAlignment="1" applyProtection="1">
      <alignment vertical="top" wrapText="1"/>
      <protection locked="0"/>
    </xf>
    <xf numFmtId="0" fontId="0" fillId="2" borderId="13" xfId="0" applyFill="1" applyBorder="1" applyAlignment="1" applyProtection="1">
      <alignment vertical="top" wrapText="1"/>
      <protection locked="0"/>
    </xf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4" xfId="0" applyFill="1" applyBorder="1" applyAlignment="1">
      <alignment wrapText="1"/>
    </xf>
    <xf numFmtId="0" fontId="0" fillId="0" borderId="4" xfId="0" applyBorder="1" applyAlignment="1">
      <alignment wrapText="1"/>
    </xf>
    <xf numFmtId="0" fontId="14" fillId="2" borderId="0" xfId="0" applyFont="1" applyFill="1" applyAlignment="1">
      <alignment horizontal="left"/>
    </xf>
    <xf numFmtId="165" fontId="0" fillId="2" borderId="0" xfId="0" applyNumberFormat="1" applyFill="1"/>
    <xf numFmtId="166" fontId="0" fillId="2" borderId="0" xfId="0" applyNumberFormat="1" applyFill="1"/>
    <xf numFmtId="167" fontId="0" fillId="2" borderId="0" xfId="0" applyNumberFormat="1" applyFill="1"/>
    <xf numFmtId="0" fontId="8" fillId="2" borderId="4" xfId="0" applyFont="1" applyFill="1" applyBorder="1" applyAlignment="1" applyProtection="1">
      <alignment wrapText="1"/>
      <protection locked="0"/>
    </xf>
    <xf numFmtId="0" fontId="0" fillId="2" borderId="11" xfId="0" applyFill="1" applyBorder="1" applyAlignment="1">
      <alignment wrapText="1"/>
    </xf>
    <xf numFmtId="0" fontId="0" fillId="0" borderId="12" xfId="0" applyBorder="1" applyAlignment="1">
      <alignment wrapText="1"/>
    </xf>
    <xf numFmtId="0" fontId="0" fillId="0" borderId="13" xfId="0" applyBorder="1" applyAlignment="1">
      <alignment wrapText="1"/>
    </xf>
    <xf numFmtId="0" fontId="18" fillId="2" borderId="5" xfId="0" applyFont="1" applyFill="1" applyBorder="1" applyAlignment="1">
      <alignment horizontal="left" vertical="top" wrapText="1"/>
    </xf>
    <xf numFmtId="0" fontId="18" fillId="0" borderId="3" xfId="0" applyFont="1" applyBorder="1" applyAlignment="1">
      <alignment horizontal="left" vertical="top" wrapText="1"/>
    </xf>
    <xf numFmtId="0" fontId="18" fillId="0" borderId="6" xfId="0" applyFont="1" applyBorder="1" applyAlignment="1">
      <alignment horizontal="left" vertical="top" wrapText="1"/>
    </xf>
    <xf numFmtId="0" fontId="18" fillId="0" borderId="7" xfId="0" applyFont="1" applyBorder="1" applyAlignment="1">
      <alignment horizontal="left" vertical="top" wrapText="1"/>
    </xf>
    <xf numFmtId="0" fontId="18" fillId="0" borderId="0" xfId="0" applyFont="1" applyAlignment="1">
      <alignment horizontal="left" vertical="top" wrapText="1"/>
    </xf>
    <xf numFmtId="0" fontId="18" fillId="0" borderId="8" xfId="0" applyFont="1" applyBorder="1" applyAlignment="1">
      <alignment horizontal="left" vertical="top" wrapText="1"/>
    </xf>
    <xf numFmtId="0" fontId="18" fillId="0" borderId="9" xfId="0" applyFont="1" applyBorder="1" applyAlignment="1">
      <alignment horizontal="left" vertical="top" wrapText="1"/>
    </xf>
    <xf numFmtId="0" fontId="18" fillId="0" borderId="2" xfId="0" applyFont="1" applyBorder="1" applyAlignment="1">
      <alignment horizontal="left" vertical="top" wrapText="1"/>
    </xf>
    <xf numFmtId="0" fontId="18" fillId="0" borderId="10" xfId="0" applyFont="1" applyBorder="1" applyAlignment="1">
      <alignment horizontal="left" vertical="top" wrapText="1"/>
    </xf>
    <xf numFmtId="0" fontId="0" fillId="2" borderId="11" xfId="0" applyFill="1" applyBorder="1"/>
    <xf numFmtId="0" fontId="0" fillId="0" borderId="13" xfId="0" applyBorder="1"/>
    <xf numFmtId="0" fontId="0" fillId="0" borderId="12" xfId="0" applyBorder="1"/>
    <xf numFmtId="0" fontId="0" fillId="2" borderId="13" xfId="0" applyFill="1" applyBorder="1"/>
    <xf numFmtId="0" fontId="8" fillId="2" borderId="11" xfId="0" applyFont="1" applyFill="1" applyBorder="1" applyAlignment="1">
      <alignment wrapText="1"/>
    </xf>
    <xf numFmtId="0" fontId="8" fillId="0" borderId="12" xfId="0" applyFont="1" applyBorder="1" applyAlignment="1">
      <alignment wrapText="1"/>
    </xf>
    <xf numFmtId="0" fontId="8" fillId="0" borderId="13" xfId="0" applyFont="1" applyBorder="1" applyAlignment="1">
      <alignment wrapText="1"/>
    </xf>
    <xf numFmtId="0" fontId="17" fillId="2" borderId="11" xfId="0" applyFont="1" applyFill="1" applyBorder="1"/>
    <xf numFmtId="0" fontId="12" fillId="2" borderId="4" xfId="0" applyFont="1" applyFill="1" applyBorder="1" applyAlignment="1" applyProtection="1">
      <alignment wrapText="1"/>
      <protection locked="0"/>
    </xf>
    <xf numFmtId="0" fontId="16" fillId="2" borderId="11" xfId="0" applyFont="1" applyFill="1" applyBorder="1" applyAlignment="1" applyProtection="1">
      <alignment wrapText="1"/>
      <protection locked="0"/>
    </xf>
    <xf numFmtId="0" fontId="16" fillId="2" borderId="12" xfId="0" applyFont="1" applyFill="1" applyBorder="1" applyAlignment="1" applyProtection="1">
      <alignment wrapText="1"/>
      <protection locked="0"/>
    </xf>
    <xf numFmtId="0" fontId="16" fillId="2" borderId="13" xfId="0" applyFont="1" applyFill="1" applyBorder="1" applyAlignment="1" applyProtection="1">
      <alignment wrapText="1"/>
      <protection locked="0"/>
    </xf>
    <xf numFmtId="0" fontId="8" fillId="2" borderId="4" xfId="0" applyFont="1" applyFill="1" applyBorder="1" applyAlignment="1" applyProtection="1">
      <alignment wrapText="1"/>
      <protection locked="0"/>
    </xf>
    <xf numFmtId="0" fontId="14" fillId="2" borderId="4" xfId="0" applyFont="1" applyFill="1" applyBorder="1" applyAlignment="1" applyProtection="1">
      <alignment wrapText="1"/>
      <protection locked="0"/>
    </xf>
    <xf numFmtId="0" fontId="13" fillId="2" borderId="4" xfId="0" applyFont="1" applyFill="1" applyBorder="1" applyAlignment="1" applyProtection="1">
      <alignment wrapText="1"/>
      <protection locked="0"/>
    </xf>
    <xf numFmtId="0" fontId="0" fillId="2" borderId="4" xfId="0" applyFill="1" applyBorder="1" applyAlignment="1" applyProtection="1">
      <alignment wrapText="1"/>
      <protection locked="0"/>
    </xf>
    <xf numFmtId="0" fontId="0" fillId="2" borderId="4" xfId="0" applyFill="1" applyBorder="1"/>
    <xf numFmtId="0" fontId="15" fillId="3" borderId="4" xfId="0" applyFont="1" applyFill="1" applyBorder="1" applyAlignment="1">
      <alignment horizontal="left" vertical="top" wrapText="1"/>
    </xf>
    <xf numFmtId="0" fontId="18" fillId="2" borderId="4" xfId="0" applyFont="1" applyFill="1" applyBorder="1" applyAlignment="1" applyProtection="1">
      <alignment wrapText="1"/>
      <protection locked="0"/>
    </xf>
    <xf numFmtId="0" fontId="0" fillId="2" borderId="4" xfId="0" applyFill="1" applyBorder="1" applyAlignment="1" applyProtection="1">
      <alignment vertical="top" wrapText="1"/>
      <protection locked="0"/>
    </xf>
    <xf numFmtId="0" fontId="0" fillId="2" borderId="4" xfId="0" applyFill="1" applyBorder="1" applyAlignment="1">
      <alignment vertical="top"/>
    </xf>
    <xf numFmtId="0" fontId="14" fillId="3" borderId="4" xfId="1" applyFont="1" applyFill="1" applyBorder="1" applyAlignment="1">
      <alignment horizontal="left" vertical="top" wrapText="1"/>
    </xf>
    <xf numFmtId="0" fontId="14" fillId="3" borderId="4" xfId="0" applyFont="1" applyFill="1" applyBorder="1" applyAlignment="1">
      <alignment horizontal="left" vertical="top" wrapText="1"/>
    </xf>
    <xf numFmtId="1" fontId="15" fillId="3" borderId="4" xfId="0" applyNumberFormat="1" applyFont="1" applyFill="1" applyBorder="1" applyAlignment="1">
      <alignment horizontal="left" vertical="top" wrapText="1"/>
    </xf>
    <xf numFmtId="20" fontId="15" fillId="3" borderId="4" xfId="0" applyNumberFormat="1" applyFont="1" applyFill="1" applyBorder="1" applyAlignment="1">
      <alignment horizontal="left" vertical="top" wrapText="1"/>
    </xf>
    <xf numFmtId="0" fontId="0" fillId="2" borderId="11" xfId="0" applyFill="1" applyBorder="1" applyAlignment="1" applyProtection="1">
      <alignment vertical="top" wrapText="1"/>
      <protection locked="0"/>
    </xf>
    <xf numFmtId="0" fontId="0" fillId="2" borderId="12" xfId="0" applyFill="1" applyBorder="1" applyAlignment="1" applyProtection="1">
      <alignment vertical="top" wrapText="1"/>
      <protection locked="0"/>
    </xf>
    <xf numFmtId="0" fontId="0" fillId="2" borderId="13" xfId="0" applyFill="1" applyBorder="1" applyAlignment="1" applyProtection="1">
      <alignment vertical="top" wrapText="1"/>
      <protection locked="0"/>
    </xf>
    <xf numFmtId="14" fontId="0" fillId="2" borderId="1" xfId="0" applyNumberFormat="1" applyFill="1" applyBorder="1" applyProtection="1">
      <protection locked="0"/>
    </xf>
    <xf numFmtId="14" fontId="0" fillId="0" borderId="1" xfId="0" applyNumberFormat="1" applyBorder="1" applyProtection="1">
      <protection locked="0"/>
    </xf>
    <xf numFmtId="0" fontId="0" fillId="2" borderId="0" xfId="0" applyFill="1"/>
    <xf numFmtId="0" fontId="5" fillId="2" borderId="3" xfId="0" applyFont="1" applyFill="1" applyBorder="1" applyAlignment="1" applyProtection="1">
      <alignment vertical="top" wrapText="1"/>
      <protection locked="0"/>
    </xf>
    <xf numFmtId="0" fontId="0" fillId="2" borderId="3" xfId="0" applyFill="1" applyBorder="1" applyAlignment="1" applyProtection="1">
      <alignment vertical="top" wrapText="1"/>
      <protection locked="0"/>
    </xf>
    <xf numFmtId="0" fontId="0" fillId="0" borderId="0" xfId="0" applyAlignment="1">
      <alignment vertical="top" wrapText="1"/>
    </xf>
    <xf numFmtId="14" fontId="15" fillId="3" borderId="4" xfId="0" applyNumberFormat="1" applyFont="1" applyFill="1" applyBorder="1" applyAlignment="1">
      <alignment horizontal="left" vertical="top" wrapText="1"/>
    </xf>
    <xf numFmtId="0" fontId="0" fillId="2" borderId="3" xfId="0" applyFill="1" applyBorder="1"/>
    <xf numFmtId="0" fontId="8" fillId="2" borderId="0" xfId="0" applyFont="1" applyFill="1" applyAlignment="1" applyProtection="1">
      <alignment wrapText="1"/>
      <protection locked="0"/>
    </xf>
    <xf numFmtId="0" fontId="8" fillId="0" borderId="0" xfId="0" applyFont="1" applyAlignment="1" applyProtection="1">
      <alignment wrapText="1"/>
      <protection locked="0"/>
    </xf>
    <xf numFmtId="0" fontId="0" fillId="4" borderId="5" xfId="0" applyFill="1" applyBorder="1"/>
    <xf numFmtId="0" fontId="0" fillId="4" borderId="3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/>
    <xf numFmtId="0" fontId="0" fillId="4" borderId="8" xfId="0" applyFill="1" applyBorder="1"/>
    <xf numFmtId="0" fontId="0" fillId="4" borderId="9" xfId="0" applyFill="1" applyBorder="1"/>
    <xf numFmtId="0" fontId="0" fillId="4" borderId="2" xfId="0" applyFill="1" applyBorder="1"/>
    <xf numFmtId="0" fontId="0" fillId="4" borderId="10" xfId="0" applyFill="1" applyBorder="1"/>
    <xf numFmtId="0" fontId="11" fillId="3" borderId="4" xfId="1" applyFill="1" applyBorder="1" applyAlignment="1">
      <alignment horizontal="left" vertical="top" wrapText="1"/>
    </xf>
    <xf numFmtId="49" fontId="0" fillId="2" borderId="11" xfId="0" applyNumberFormat="1" applyFill="1" applyBorder="1" applyAlignment="1" applyProtection="1">
      <alignment horizontal="left" vertical="top" wrapText="1"/>
      <protection locked="0"/>
    </xf>
    <xf numFmtId="49" fontId="0" fillId="2" borderId="12" xfId="0" applyNumberFormat="1" applyFill="1" applyBorder="1" applyAlignment="1" applyProtection="1">
      <alignment horizontal="left" vertical="top" wrapText="1"/>
      <protection locked="0"/>
    </xf>
    <xf numFmtId="49" fontId="0" fillId="2" borderId="13" xfId="0" applyNumberFormat="1" applyFill="1" applyBorder="1" applyAlignment="1" applyProtection="1">
      <alignment horizontal="left" vertical="top" wrapText="1"/>
      <protection locked="0"/>
    </xf>
    <xf numFmtId="0" fontId="18" fillId="2" borderId="11" xfId="0" applyFont="1" applyFill="1" applyBorder="1"/>
    <xf numFmtId="0" fontId="18" fillId="0" borderId="12" xfId="0" applyFont="1" applyBorder="1"/>
    <xf numFmtId="0" fontId="18" fillId="0" borderId="13" xfId="0" applyFont="1" applyBorder="1"/>
  </cellXfs>
  <cellStyles count="2">
    <cellStyle name="Hyperlink" xfId="1" builtinId="8"/>
    <cellStyle name="Normal" xfId="0" builtinId="0"/>
  </cellStyles>
  <dxfs count="22">
    <dxf>
      <fill>
        <patternFill>
          <bgColor theme="1"/>
        </patternFill>
      </fill>
    </dxf>
    <dxf>
      <fill>
        <patternFill>
          <bgColor theme="9" tint="0.59996337778862885"/>
        </patternFill>
      </fill>
    </dxf>
    <dxf>
      <fill>
        <patternFill>
          <bgColor theme="1"/>
        </patternFill>
      </fill>
    </dxf>
    <dxf>
      <fill>
        <patternFill>
          <bgColor theme="9" tint="0.59996337778862885"/>
        </patternFill>
      </fill>
    </dxf>
    <dxf>
      <fill>
        <patternFill>
          <bgColor theme="1"/>
        </patternFill>
      </fill>
    </dxf>
    <dxf>
      <fill>
        <patternFill>
          <bgColor theme="9" tint="0.59996337778862885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theme="0"/>
          </stop>
          <stop position="1">
            <color theme="9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EC9CD5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EC9C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fmlaLink="Blad2!$C$12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fmlaLink="Blad2!$C$12" lockText="1" noThreeD="1"/>
</file>

<file path=xl/ctrlProps/ctrlProp11.xml><?xml version="1.0" encoding="utf-8"?>
<formControlPr xmlns="http://schemas.microsoft.com/office/spreadsheetml/2009/9/main" objectType="CheckBox" checked="Checked" fmlaLink="Blad2!$B$14" lockText="1" noThreeD="1"/>
</file>

<file path=xl/ctrlProps/ctrlProp12.xml><?xml version="1.0" encoding="utf-8"?>
<formControlPr xmlns="http://schemas.microsoft.com/office/spreadsheetml/2009/9/main" objectType="CheckBox" checked="Checked" fmlaLink="Blad2!$B$16" lockText="1" noThreeD="1"/>
</file>

<file path=xl/ctrlProps/ctrlProp13.xml><?xml version="1.0" encoding="utf-8"?>
<formControlPr xmlns="http://schemas.microsoft.com/office/spreadsheetml/2009/9/main" objectType="CheckBox" fmlaLink="Blad2!$B$15" lockText="1" noThreeD="1"/>
</file>

<file path=xl/ctrlProps/ctrlProp14.xml><?xml version="1.0" encoding="utf-8"?>
<formControlPr xmlns="http://schemas.microsoft.com/office/spreadsheetml/2009/9/main" objectType="CheckBox" fmlaLink="Blad2!$C$14" lockText="1" noThreeD="1"/>
</file>

<file path=xl/ctrlProps/ctrlProp15.xml><?xml version="1.0" encoding="utf-8"?>
<formControlPr xmlns="http://schemas.microsoft.com/office/spreadsheetml/2009/9/main" objectType="CheckBox" fmlaLink="Blad2!$D$2" lockText="1" noThreeD="1"/>
</file>

<file path=xl/ctrlProps/ctrlProp16.xml><?xml version="1.0" encoding="utf-8"?>
<formControlPr xmlns="http://schemas.microsoft.com/office/spreadsheetml/2009/9/main" objectType="CheckBox" checked="Checked" fmlaLink="Blad2!$C$15" lockText="1" noThreeD="1"/>
</file>

<file path=xl/ctrlProps/ctrlProp17.xml><?xml version="1.0" encoding="utf-8"?>
<formControlPr xmlns="http://schemas.microsoft.com/office/spreadsheetml/2009/9/main" objectType="CheckBox" fmlaLink="Blad2!$C$16" lockText="1" noThreeD="1"/>
</file>

<file path=xl/ctrlProps/ctrlProp18.xml><?xml version="1.0" encoding="utf-8"?>
<formControlPr xmlns="http://schemas.microsoft.com/office/spreadsheetml/2009/9/main" objectType="CheckBox" fmlaLink="Blad2!$C$13" lockText="1" noThreeD="1"/>
</file>

<file path=xl/ctrlProps/ctrlProp19.xml><?xml version="1.0" encoding="utf-8"?>
<formControlPr xmlns="http://schemas.microsoft.com/office/spreadsheetml/2009/9/main" objectType="CheckBox" checked="Checked" fmlaLink="Blad2!$B$13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fmlaLink="Blad2!$B$72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fmlaLink="Blad2!$B$12" lockText="1" noThreeD="1"/>
</file>

<file path=xl/ctrlProps/ctrlProp25.xml><?xml version="1.0" encoding="utf-8"?>
<formControlPr xmlns="http://schemas.microsoft.com/office/spreadsheetml/2009/9/main" objectType="CheckBox" checked="Checked" fmlaLink="Blad2!$B$2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checked="Checked" fmlaLink="Blad2!$B$68" lockText="1" noThreeD="1"/>
</file>

<file path=xl/ctrlProps/ctrlProp29.xml><?xml version="1.0" encoding="utf-8"?>
<formControlPr xmlns="http://schemas.microsoft.com/office/spreadsheetml/2009/9/main" objectType="CheckBox" checked="Checked" fmlaLink="Blad2!$B$65" lockText="1" noThreeD="1"/>
</file>

<file path=xl/ctrlProps/ctrlProp30.xml><?xml version="1.0" encoding="utf-8"?>
<formControlPr xmlns="http://schemas.microsoft.com/office/spreadsheetml/2009/9/main" objectType="CheckBox" checked="Checked" fmlaLink="Blad2!$B$66" lockText="1" noThreeD="1"/>
</file>

<file path=xl/ctrlProps/ctrlProp31.xml><?xml version="1.0" encoding="utf-8"?>
<formControlPr xmlns="http://schemas.microsoft.com/office/spreadsheetml/2009/9/main" objectType="CheckBox" checked="Checked" fmlaLink="Blad2!$B$67" lockText="1" noThreeD="1"/>
</file>

<file path=xl/ctrlProps/ctrlProp32.xml><?xml version="1.0" encoding="utf-8"?>
<formControlPr xmlns="http://schemas.microsoft.com/office/spreadsheetml/2009/9/main" objectType="CheckBox" checked="Checked" fmlaLink="Blad2!$B$69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95250</xdr:colOff>
      <xdr:row>4</xdr:row>
      <xdr:rowOff>19501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66800" cy="71609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94</xdr:row>
          <xdr:rowOff>22860</xdr:rowOff>
        </xdr:from>
        <xdr:to>
          <xdr:col>4</xdr:col>
          <xdr:colOff>403860</xdr:colOff>
          <xdr:row>95</xdr:row>
          <xdr:rowOff>76200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Vergrendelen voedingsmes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205740</xdr:colOff>
          <xdr:row>94</xdr:row>
          <xdr:rowOff>15240</xdr:rowOff>
        </xdr:from>
        <xdr:to>
          <xdr:col>5</xdr:col>
          <xdr:colOff>320040</xdr:colOff>
          <xdr:row>95</xdr:row>
          <xdr:rowOff>53340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Ontgrendelen voedingsmes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205740</xdr:colOff>
          <xdr:row>95</xdr:row>
          <xdr:rowOff>30480</xdr:rowOff>
        </xdr:from>
        <xdr:to>
          <xdr:col>4</xdr:col>
          <xdr:colOff>1181100</xdr:colOff>
          <xdr:row>96</xdr:row>
          <xdr:rowOff>91440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Afbakenen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213360</xdr:colOff>
          <xdr:row>93</xdr:row>
          <xdr:rowOff>0</xdr:rowOff>
        </xdr:from>
        <xdr:to>
          <xdr:col>4</xdr:col>
          <xdr:colOff>1562100</xdr:colOff>
          <xdr:row>94</xdr:row>
          <xdr:rowOff>30480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Ontgrendelen feeders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97</xdr:row>
          <xdr:rowOff>152400</xdr:rowOff>
        </xdr:from>
        <xdr:to>
          <xdr:col>4</xdr:col>
          <xdr:colOff>114300</xdr:colOff>
          <xdr:row>99</xdr:row>
          <xdr:rowOff>7620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Vrijgave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95</xdr:row>
          <xdr:rowOff>91440</xdr:rowOff>
        </xdr:from>
        <xdr:to>
          <xdr:col>4</xdr:col>
          <xdr:colOff>114300</xdr:colOff>
          <xdr:row>96</xdr:row>
          <xdr:rowOff>129540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Meten bovenleiding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96</xdr:row>
          <xdr:rowOff>121920</xdr:rowOff>
        </xdr:from>
        <xdr:to>
          <xdr:col>4</xdr:col>
          <xdr:colOff>114300</xdr:colOff>
          <xdr:row>97</xdr:row>
          <xdr:rowOff>160020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Kortsluiten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99</xdr:row>
          <xdr:rowOff>152400</xdr:rowOff>
        </xdr:from>
        <xdr:to>
          <xdr:col>4</xdr:col>
          <xdr:colOff>106680</xdr:colOff>
          <xdr:row>101</xdr:row>
          <xdr:rowOff>7620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Seininstallatie depasiveren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92</xdr:row>
          <xdr:rowOff>160020</xdr:rowOff>
        </xdr:from>
        <xdr:to>
          <xdr:col>4</xdr:col>
          <xdr:colOff>114300</xdr:colOff>
          <xdr:row>94</xdr:row>
          <xdr:rowOff>22860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Vergrendelen feeders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335280</xdr:colOff>
          <xdr:row>1</xdr:row>
          <xdr:rowOff>68580</xdr:rowOff>
        </xdr:from>
        <xdr:to>
          <xdr:col>13</xdr:col>
          <xdr:colOff>457200</xdr:colOff>
          <xdr:row>4</xdr:row>
          <xdr:rowOff>144780</xdr:rowOff>
        </xdr:to>
        <xdr:sp macro="" textlink="">
          <xdr:nvSpPr>
            <xdr:cNvPr id="1048" name="OpslaanMAilen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35</xdr:row>
          <xdr:rowOff>243840</xdr:rowOff>
        </xdr:from>
        <xdr:to>
          <xdr:col>8</xdr:col>
          <xdr:colOff>365760</xdr:colOff>
          <xdr:row>36</xdr:row>
          <xdr:rowOff>228600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35</xdr:row>
          <xdr:rowOff>0</xdr:rowOff>
        </xdr:from>
        <xdr:to>
          <xdr:col>8</xdr:col>
          <xdr:colOff>358140</xdr:colOff>
          <xdr:row>35</xdr:row>
          <xdr:rowOff>243840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39</xdr:row>
          <xdr:rowOff>22860</xdr:rowOff>
        </xdr:from>
        <xdr:to>
          <xdr:col>8</xdr:col>
          <xdr:colOff>373380</xdr:colOff>
          <xdr:row>39</xdr:row>
          <xdr:rowOff>243840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373380</xdr:colOff>
          <xdr:row>38</xdr:row>
          <xdr:rowOff>0</xdr:rowOff>
        </xdr:from>
        <xdr:to>
          <xdr:col>8</xdr:col>
          <xdr:colOff>358140</xdr:colOff>
          <xdr:row>38</xdr:row>
          <xdr:rowOff>236220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35</xdr:row>
          <xdr:rowOff>0</xdr:rowOff>
        </xdr:from>
        <xdr:to>
          <xdr:col>5</xdr:col>
          <xdr:colOff>975360</xdr:colOff>
          <xdr:row>35</xdr:row>
          <xdr:rowOff>251460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37</xdr:row>
          <xdr:rowOff>0</xdr:rowOff>
        </xdr:from>
        <xdr:to>
          <xdr:col>5</xdr:col>
          <xdr:colOff>975360</xdr:colOff>
          <xdr:row>37</xdr:row>
          <xdr:rowOff>251460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38</xdr:row>
          <xdr:rowOff>0</xdr:rowOff>
        </xdr:from>
        <xdr:to>
          <xdr:col>5</xdr:col>
          <xdr:colOff>975360</xdr:colOff>
          <xdr:row>38</xdr:row>
          <xdr:rowOff>251460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39</xdr:row>
          <xdr:rowOff>0</xdr:rowOff>
        </xdr:from>
        <xdr:to>
          <xdr:col>5</xdr:col>
          <xdr:colOff>975360</xdr:colOff>
          <xdr:row>39</xdr:row>
          <xdr:rowOff>251460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365760</xdr:colOff>
          <xdr:row>5</xdr:row>
          <xdr:rowOff>60960</xdr:rowOff>
        </xdr:from>
        <xdr:to>
          <xdr:col>13</xdr:col>
          <xdr:colOff>449580</xdr:colOff>
          <xdr:row>7</xdr:row>
          <xdr:rowOff>15240</xdr:rowOff>
        </xdr:to>
        <xdr:sp macro="" textlink="">
          <xdr:nvSpPr>
            <xdr:cNvPr id="1082" name="Leegmaken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34</xdr:row>
          <xdr:rowOff>0</xdr:rowOff>
        </xdr:from>
        <xdr:to>
          <xdr:col>5</xdr:col>
          <xdr:colOff>975360</xdr:colOff>
          <xdr:row>34</xdr:row>
          <xdr:rowOff>251460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327660</xdr:colOff>
          <xdr:row>34</xdr:row>
          <xdr:rowOff>0</xdr:rowOff>
        </xdr:from>
        <xdr:to>
          <xdr:col>8</xdr:col>
          <xdr:colOff>365760</xdr:colOff>
          <xdr:row>34</xdr:row>
          <xdr:rowOff>251460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73</xdr:row>
          <xdr:rowOff>76200</xdr:rowOff>
        </xdr:from>
        <xdr:to>
          <xdr:col>5</xdr:col>
          <xdr:colOff>1143000</xdr:colOff>
          <xdr:row>75</xdr:row>
          <xdr:rowOff>60960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Schakelen voedingskabels/feeders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510540</xdr:colOff>
          <xdr:row>50</xdr:row>
          <xdr:rowOff>53340</xdr:rowOff>
        </xdr:from>
        <xdr:to>
          <xdr:col>5</xdr:col>
          <xdr:colOff>1318260</xdr:colOff>
          <xdr:row>52</xdr:row>
          <xdr:rowOff>53340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Schakelen bovenleiding op afstand en digitale vrijgave vanuit TCC afstandschakeling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151</xdr:row>
      <xdr:rowOff>30547</xdr:rowOff>
    </xdr:from>
    <xdr:to>
      <xdr:col>4</xdr:col>
      <xdr:colOff>1123315</xdr:colOff>
      <xdr:row>156</xdr:row>
      <xdr:rowOff>3582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29" t="19313" r="40109" b="19902"/>
        <a:stretch/>
      </xdr:blipFill>
      <xdr:spPr>
        <a:xfrm rot="5400000">
          <a:off x="818980" y="28106607"/>
          <a:ext cx="887435" cy="2525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365760</xdr:colOff>
          <xdr:row>42</xdr:row>
          <xdr:rowOff>7620</xdr:rowOff>
        </xdr:from>
        <xdr:to>
          <xdr:col>5</xdr:col>
          <xdr:colOff>944880</xdr:colOff>
          <xdr:row>42</xdr:row>
          <xdr:rowOff>228600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312420</xdr:colOff>
          <xdr:row>42</xdr:row>
          <xdr:rowOff>7620</xdr:rowOff>
        </xdr:from>
        <xdr:to>
          <xdr:col>8</xdr:col>
          <xdr:colOff>571500</xdr:colOff>
          <xdr:row>42</xdr:row>
          <xdr:rowOff>228600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388620</xdr:colOff>
          <xdr:row>36</xdr:row>
          <xdr:rowOff>38100</xdr:rowOff>
        </xdr:from>
        <xdr:to>
          <xdr:col>5</xdr:col>
          <xdr:colOff>975360</xdr:colOff>
          <xdr:row>36</xdr:row>
          <xdr:rowOff>228600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37</xdr:row>
          <xdr:rowOff>22860</xdr:rowOff>
        </xdr:from>
        <xdr:to>
          <xdr:col>8</xdr:col>
          <xdr:colOff>388620</xdr:colOff>
          <xdr:row>38</xdr:row>
          <xdr:rowOff>0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548640</xdr:colOff>
          <xdr:row>73</xdr:row>
          <xdr:rowOff>129540</xdr:rowOff>
        </xdr:from>
        <xdr:to>
          <xdr:col>4</xdr:col>
          <xdr:colOff>487680</xdr:colOff>
          <xdr:row>75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Schakelen bovenleiding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135</xdr:row>
          <xdr:rowOff>53340</xdr:rowOff>
        </xdr:from>
        <xdr:to>
          <xdr:col>4</xdr:col>
          <xdr:colOff>518160</xdr:colOff>
          <xdr:row>136</xdr:row>
          <xdr:rowOff>121920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Vergrendelen Sectiemessen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556260</xdr:colOff>
          <xdr:row>135</xdr:row>
          <xdr:rowOff>68580</xdr:rowOff>
        </xdr:from>
        <xdr:to>
          <xdr:col>5</xdr:col>
          <xdr:colOff>487680</xdr:colOff>
          <xdr:row>136</xdr:row>
          <xdr:rowOff>114300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Vergrendelen Voedingsmessen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136</xdr:row>
          <xdr:rowOff>60960</xdr:rowOff>
        </xdr:from>
        <xdr:to>
          <xdr:col>4</xdr:col>
          <xdr:colOff>304800</xdr:colOff>
          <xdr:row>137</xdr:row>
          <xdr:rowOff>106680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Meten bovenleiding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137</xdr:row>
          <xdr:rowOff>60960</xdr:rowOff>
        </xdr:from>
        <xdr:to>
          <xdr:col>2</xdr:col>
          <xdr:colOff>152400</xdr:colOff>
          <xdr:row>138</xdr:row>
          <xdr:rowOff>99060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Kortsluiten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138</xdr:row>
          <xdr:rowOff>68580</xdr:rowOff>
        </xdr:from>
        <xdr:to>
          <xdr:col>2</xdr:col>
          <xdr:colOff>144780</xdr:colOff>
          <xdr:row>139</xdr:row>
          <xdr:rowOff>91440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Afbakenen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556260</xdr:colOff>
          <xdr:row>137</xdr:row>
          <xdr:rowOff>60960</xdr:rowOff>
        </xdr:from>
        <xdr:to>
          <xdr:col>5</xdr:col>
          <xdr:colOff>579120</xdr:colOff>
          <xdr:row>138</xdr:row>
          <xdr:rowOff>76200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Vrijgave na einde werkdag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19050</xdr:colOff>
      <xdr:row>160</xdr:row>
      <xdr:rowOff>57533</xdr:rowOff>
    </xdr:from>
    <xdr:to>
      <xdr:col>8</xdr:col>
      <xdr:colOff>817245</xdr:colOff>
      <xdr:row>181</xdr:row>
      <xdr:rowOff>151184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8491" t="12127" r="54218" b="10825"/>
        <a:stretch/>
      </xdr:blipFill>
      <xdr:spPr>
        <a:xfrm>
          <a:off x="19050" y="30147008"/>
          <a:ext cx="6722745" cy="3894126"/>
        </a:xfrm>
        <a:prstGeom prst="rect">
          <a:avLst/>
        </a:prstGeom>
      </xdr:spPr>
    </xdr:pic>
    <xdr:clientData/>
  </xdr:twoCellAnchor>
  <xdr:twoCellAnchor>
    <xdr:from>
      <xdr:col>6</xdr:col>
      <xdr:colOff>209550</xdr:colOff>
      <xdr:row>173</xdr:row>
      <xdr:rowOff>163831</xdr:rowOff>
    </xdr:from>
    <xdr:to>
      <xdr:col>7</xdr:col>
      <xdr:colOff>190500</xdr:colOff>
      <xdr:row>176</xdr:row>
      <xdr:rowOff>129541</xdr:rowOff>
    </xdr:to>
    <xdr:sp macro="" textlink="">
      <xdr:nvSpPr>
        <xdr:cNvPr id="9" name="Tekstballon: rechthoek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057775" y="32605981"/>
          <a:ext cx="723900" cy="508635"/>
        </a:xfrm>
        <a:prstGeom prst="wedgeRectCallout">
          <a:avLst>
            <a:gd name="adj1" fmla="val -182684"/>
            <a:gd name="adj2" fmla="val 21496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l-BE" sz="1100"/>
            <a:t>V102</a:t>
          </a:r>
        </a:p>
      </xdr:txBody>
    </xdr:sp>
    <xdr:clientData/>
  </xdr:twoCellAnchor>
  <xdr:twoCellAnchor>
    <xdr:from>
      <xdr:col>6</xdr:col>
      <xdr:colOff>361950</xdr:colOff>
      <xdr:row>178</xdr:row>
      <xdr:rowOff>59438</xdr:rowOff>
    </xdr:from>
    <xdr:to>
      <xdr:col>8</xdr:col>
      <xdr:colOff>11430</xdr:colOff>
      <xdr:row>181</xdr:row>
      <xdr:rowOff>27053</xdr:rowOff>
    </xdr:to>
    <xdr:sp macro="" textlink="">
      <xdr:nvSpPr>
        <xdr:cNvPr id="11" name="Tekstballon: rechthoek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10175" y="33406463"/>
          <a:ext cx="725805" cy="510540"/>
        </a:xfrm>
        <a:prstGeom prst="wedgeRectCallout">
          <a:avLst>
            <a:gd name="adj1" fmla="val -257487"/>
            <a:gd name="adj2" fmla="val 5694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l-BE" sz="1100"/>
            <a:t>V101</a:t>
          </a:r>
        </a:p>
      </xdr:txBody>
    </xdr:sp>
    <xdr:clientData/>
  </xdr:twoCellAnchor>
  <xdr:twoCellAnchor editAs="oneCell">
    <xdr:from>
      <xdr:col>1</xdr:col>
      <xdr:colOff>266700</xdr:colOff>
      <xdr:row>186</xdr:row>
      <xdr:rowOff>83820</xdr:rowOff>
    </xdr:from>
    <xdr:to>
      <xdr:col>7</xdr:col>
      <xdr:colOff>312420</xdr:colOff>
      <xdr:row>214</xdr:row>
      <xdr:rowOff>175710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0B122E-2EE1-5CF5-8CBF-D4EB08084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76300" y="35212020"/>
          <a:ext cx="5029200" cy="5197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26" Type="http://schemas.openxmlformats.org/officeDocument/2006/relationships/ctrlProp" Target="../ctrlProps/ctrlProp18.xml"/><Relationship Id="rId39" Type="http://schemas.openxmlformats.org/officeDocument/2006/relationships/ctrlProp" Target="../ctrlProps/ctrlProp31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3.xml"/><Relationship Id="rId34" Type="http://schemas.openxmlformats.org/officeDocument/2006/relationships/ctrlProp" Target="../ctrlProps/ctrlProp26.xml"/><Relationship Id="rId7" Type="http://schemas.openxmlformats.org/officeDocument/2006/relationships/control" Target="../activeX/activeX2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33" Type="http://schemas.openxmlformats.org/officeDocument/2006/relationships/ctrlProp" Target="../ctrlProps/ctrlProp25.xml"/><Relationship Id="rId38" Type="http://schemas.openxmlformats.org/officeDocument/2006/relationships/ctrlProp" Target="../ctrlProps/ctrlProp30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29" Type="http://schemas.openxmlformats.org/officeDocument/2006/relationships/ctrlProp" Target="../ctrlProps/ctrlProp21.xml"/><Relationship Id="rId1" Type="http://schemas.openxmlformats.org/officeDocument/2006/relationships/hyperlink" Target="mailto:eduardo.jovita@delijn.be" TargetMode="External"/><Relationship Id="rId6" Type="http://schemas.openxmlformats.org/officeDocument/2006/relationships/image" Target="../media/image1.emf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32" Type="http://schemas.openxmlformats.org/officeDocument/2006/relationships/ctrlProp" Target="../ctrlProps/ctrlProp24.xml"/><Relationship Id="rId37" Type="http://schemas.openxmlformats.org/officeDocument/2006/relationships/ctrlProp" Target="../ctrlProps/ctrlProp29.xml"/><Relationship Id="rId40" Type="http://schemas.openxmlformats.org/officeDocument/2006/relationships/ctrlProp" Target="../ctrlProps/ctrlProp32.xml"/><Relationship Id="rId5" Type="http://schemas.openxmlformats.org/officeDocument/2006/relationships/control" Target="../activeX/activeX1.xm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28" Type="http://schemas.openxmlformats.org/officeDocument/2006/relationships/ctrlProp" Target="../ctrlProps/ctrlProp20.xml"/><Relationship Id="rId36" Type="http://schemas.openxmlformats.org/officeDocument/2006/relationships/ctrlProp" Target="../ctrlProps/ctrlProp28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31" Type="http://schemas.openxmlformats.org/officeDocument/2006/relationships/ctrlProp" Target="../ctrlProps/ctrlProp23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Relationship Id="rId27" Type="http://schemas.openxmlformats.org/officeDocument/2006/relationships/ctrlProp" Target="../ctrlProps/ctrlProp19.xml"/><Relationship Id="rId30" Type="http://schemas.openxmlformats.org/officeDocument/2006/relationships/ctrlProp" Target="../ctrlProps/ctrlProp22.xml"/><Relationship Id="rId35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0FEF-D3FD-4DE4-ACEA-68F70785014D}">
  <sheetPr codeName="Blad1"/>
  <dimension ref="A1:J209"/>
  <sheetViews>
    <sheetView tabSelected="1" topLeftCell="A183" workbookViewId="0">
      <selection activeCell="K202" sqref="K202"/>
    </sheetView>
  </sheetViews>
  <sheetFormatPr defaultColWidth="8.88671875" defaultRowHeight="14.4" x14ac:dyDescent="0.3"/>
  <cols>
    <col min="1" max="1" width="8.88671875" style="1"/>
    <col min="2" max="2" width="5.33203125" style="1" customWidth="1"/>
    <col min="3" max="3" width="3.88671875" style="1" customWidth="1"/>
    <col min="4" max="4" width="2.33203125" style="1" customWidth="1"/>
    <col min="5" max="5" width="24.44140625" style="1" customWidth="1"/>
    <col min="6" max="6" width="25.77734375" style="1" customWidth="1"/>
    <col min="7" max="7" width="10.88671875" style="1" customWidth="1"/>
    <col min="8" max="8" width="4.88671875" style="1" bestFit="1" customWidth="1"/>
    <col min="9" max="9" width="12.21875" style="1" customWidth="1"/>
    <col min="10" max="16384" width="8.88671875" style="1"/>
  </cols>
  <sheetData>
    <row r="1" spans="1:9" ht="21" x14ac:dyDescent="0.4">
      <c r="D1" s="2" t="s">
        <v>112</v>
      </c>
    </row>
    <row r="3" spans="1:9" x14ac:dyDescent="0.3">
      <c r="D3" s="3" t="s">
        <v>0</v>
      </c>
      <c r="F3" s="4" t="s">
        <v>1</v>
      </c>
      <c r="G3" s="75">
        <v>45413</v>
      </c>
      <c r="H3" s="76"/>
      <c r="I3" s="17"/>
    </row>
    <row r="4" spans="1:9" ht="6" customHeight="1" x14ac:dyDescent="0.3">
      <c r="C4" s="3"/>
      <c r="F4" s="4"/>
      <c r="G4" s="17"/>
    </row>
    <row r="5" spans="1:9" x14ac:dyDescent="0.3">
      <c r="F5" s="4" t="s">
        <v>2</v>
      </c>
      <c r="G5" s="75">
        <v>45414</v>
      </c>
      <c r="H5" s="76"/>
      <c r="I5" s="17"/>
    </row>
    <row r="6" spans="1:9" x14ac:dyDescent="0.3">
      <c r="C6" s="5"/>
      <c r="D6" s="5"/>
      <c r="E6" s="5"/>
      <c r="F6" s="5"/>
      <c r="G6" s="5"/>
      <c r="H6" s="5"/>
      <c r="I6" s="5"/>
    </row>
    <row r="7" spans="1:9" ht="28.95" customHeight="1" x14ac:dyDescent="0.3">
      <c r="C7" s="78" t="s">
        <v>118</v>
      </c>
      <c r="D7" s="78"/>
      <c r="E7" s="78"/>
      <c r="F7" s="78"/>
      <c r="G7" s="78"/>
      <c r="H7" s="79"/>
      <c r="I7" s="79"/>
    </row>
    <row r="8" spans="1:9" x14ac:dyDescent="0.3">
      <c r="C8" s="80"/>
      <c r="D8" s="80"/>
      <c r="E8" s="80"/>
      <c r="F8" s="80"/>
      <c r="G8" s="80"/>
      <c r="H8" s="80"/>
      <c r="I8" s="80"/>
    </row>
    <row r="9" spans="1:9" x14ac:dyDescent="0.3">
      <c r="A9" s="1" t="s">
        <v>3</v>
      </c>
      <c r="C9" s="1" t="s">
        <v>4</v>
      </c>
      <c r="F9" s="1" t="s">
        <v>5</v>
      </c>
      <c r="G9" s="1" t="s">
        <v>6</v>
      </c>
    </row>
    <row r="10" spans="1:9" x14ac:dyDescent="0.3">
      <c r="A10" s="5"/>
      <c r="B10" s="5"/>
      <c r="C10" s="5"/>
      <c r="D10" s="5"/>
      <c r="E10" s="5"/>
      <c r="F10" s="5"/>
      <c r="G10" s="5"/>
      <c r="H10" s="5"/>
      <c r="I10" s="5"/>
    </row>
    <row r="11" spans="1:9" x14ac:dyDescent="0.3">
      <c r="A11" s="82" t="s">
        <v>7</v>
      </c>
      <c r="B11" s="82"/>
    </row>
    <row r="12" spans="1:9" x14ac:dyDescent="0.3">
      <c r="A12" s="77" t="s">
        <v>8</v>
      </c>
      <c r="B12" s="77"/>
      <c r="C12" s="1" t="s">
        <v>9</v>
      </c>
      <c r="F12" s="1" t="s">
        <v>10</v>
      </c>
    </row>
    <row r="13" spans="1:9" x14ac:dyDescent="0.3">
      <c r="A13" s="77" t="s">
        <v>11</v>
      </c>
      <c r="B13" s="77"/>
      <c r="C13" s="1" t="s">
        <v>12</v>
      </c>
      <c r="F13" s="1" t="s">
        <v>13</v>
      </c>
    </row>
    <row r="14" spans="1:9" x14ac:dyDescent="0.3">
      <c r="A14" s="77" t="s">
        <v>14</v>
      </c>
      <c r="B14" s="77"/>
      <c r="C14" s="1" t="s">
        <v>12</v>
      </c>
      <c r="F14" s="1" t="s">
        <v>15</v>
      </c>
    </row>
    <row r="15" spans="1:9" x14ac:dyDescent="0.3">
      <c r="F15" s="1" t="s">
        <v>16</v>
      </c>
    </row>
    <row r="16" spans="1:9" x14ac:dyDescent="0.3">
      <c r="A16" s="5"/>
      <c r="B16" s="5"/>
      <c r="C16" s="5"/>
      <c r="D16" s="5"/>
      <c r="E16" s="5"/>
      <c r="F16" s="5"/>
      <c r="G16" s="5"/>
      <c r="H16" s="5"/>
      <c r="I16" s="5"/>
    </row>
    <row r="17" spans="1:10" ht="15.6" x14ac:dyDescent="0.3">
      <c r="A17" s="6" t="s">
        <v>17</v>
      </c>
    </row>
    <row r="19" spans="1:10" x14ac:dyDescent="0.3">
      <c r="A19" s="1" t="s">
        <v>18</v>
      </c>
      <c r="C19" s="7" t="s">
        <v>50</v>
      </c>
      <c r="D19" s="1" t="s">
        <v>12</v>
      </c>
      <c r="E19" s="11">
        <v>202405011</v>
      </c>
    </row>
    <row r="20" spans="1:10" x14ac:dyDescent="0.3">
      <c r="C20" s="7"/>
      <c r="E20" s="7"/>
    </row>
    <row r="21" spans="1:10" x14ac:dyDescent="0.3">
      <c r="A21" s="83" t="s">
        <v>122</v>
      </c>
      <c r="B21" s="84"/>
      <c r="C21" s="84"/>
      <c r="D21" s="84"/>
      <c r="E21" s="84"/>
      <c r="F21" s="84"/>
      <c r="G21" s="84"/>
      <c r="H21" s="14" t="s">
        <v>123</v>
      </c>
      <c r="I21" s="15">
        <v>0.95833333333333337</v>
      </c>
    </row>
    <row r="22" spans="1:10" x14ac:dyDescent="0.3">
      <c r="A22" s="84"/>
      <c r="B22" s="84"/>
      <c r="C22" s="84"/>
      <c r="D22" s="84"/>
      <c r="E22" s="84"/>
      <c r="F22" s="84"/>
      <c r="G22" s="84"/>
      <c r="H22" s="14" t="s">
        <v>124</v>
      </c>
      <c r="I22" s="15">
        <v>0.96527777777777779</v>
      </c>
    </row>
    <row r="23" spans="1:10" x14ac:dyDescent="0.3">
      <c r="A23" s="8" t="s">
        <v>19</v>
      </c>
      <c r="E23" s="16" t="s">
        <v>20</v>
      </c>
    </row>
    <row r="25" spans="1:10" ht="14.4" customHeight="1" x14ac:dyDescent="0.3">
      <c r="A25" s="63" t="s">
        <v>21</v>
      </c>
      <c r="B25" s="63"/>
      <c r="C25" s="63"/>
      <c r="D25" s="63"/>
      <c r="E25" s="63"/>
      <c r="F25" s="81">
        <f>G3</f>
        <v>45413</v>
      </c>
      <c r="G25" s="81"/>
      <c r="H25" s="81"/>
      <c r="I25" s="81"/>
    </row>
    <row r="26" spans="1:10" ht="14.4" customHeight="1" x14ac:dyDescent="0.3">
      <c r="A26" s="63" t="s">
        <v>22</v>
      </c>
      <c r="B26" s="63"/>
      <c r="C26" s="63"/>
      <c r="D26" s="63"/>
      <c r="E26" s="63"/>
      <c r="F26" s="81">
        <f>G5</f>
        <v>45414</v>
      </c>
      <c r="G26" s="81"/>
      <c r="H26" s="81"/>
      <c r="I26" s="81"/>
    </row>
    <row r="27" spans="1:10" ht="14.4" customHeight="1" x14ac:dyDescent="0.3">
      <c r="A27" s="63" t="s">
        <v>23</v>
      </c>
      <c r="B27" s="63"/>
      <c r="C27" s="63"/>
      <c r="D27" s="63"/>
      <c r="E27" s="63"/>
      <c r="F27" s="71">
        <v>6.25E-2</v>
      </c>
      <c r="G27" s="71"/>
      <c r="H27" s="71"/>
      <c r="I27" s="71"/>
    </row>
    <row r="28" spans="1:10" ht="14.4" customHeight="1" x14ac:dyDescent="0.3">
      <c r="A28" s="63" t="s">
        <v>24</v>
      </c>
      <c r="B28" s="63"/>
      <c r="C28" s="63"/>
      <c r="D28" s="63"/>
      <c r="E28" s="63"/>
      <c r="F28" s="71">
        <v>0.1875</v>
      </c>
      <c r="G28" s="71"/>
      <c r="H28" s="71"/>
      <c r="I28" s="71"/>
    </row>
    <row r="29" spans="1:10" x14ac:dyDescent="0.3">
      <c r="A29" s="63" t="s">
        <v>25</v>
      </c>
      <c r="B29" s="63"/>
      <c r="C29" s="63"/>
      <c r="D29" s="63"/>
      <c r="E29" s="63"/>
      <c r="F29" s="64" t="str">
        <f>C7</f>
        <v>De Lijn Bovenleiding</v>
      </c>
      <c r="G29" s="64"/>
      <c r="H29" s="64"/>
      <c r="I29" s="64"/>
    </row>
    <row r="30" spans="1:10" ht="13.95" customHeight="1" x14ac:dyDescent="0.3">
      <c r="A30" s="67" t="s">
        <v>26</v>
      </c>
      <c r="B30" s="67"/>
      <c r="C30" s="67"/>
      <c r="D30" s="67"/>
      <c r="E30" s="67"/>
      <c r="F30" s="68" t="s">
        <v>133</v>
      </c>
      <c r="G30" s="69"/>
      <c r="H30" s="69"/>
      <c r="I30" s="69"/>
      <c r="J30" s="1" t="s">
        <v>27</v>
      </c>
    </row>
    <row r="31" spans="1:10" ht="13.95" customHeight="1" x14ac:dyDescent="0.3">
      <c r="A31" s="63" t="s">
        <v>28</v>
      </c>
      <c r="B31" s="63"/>
      <c r="C31" s="63"/>
      <c r="D31" s="63"/>
      <c r="E31" s="63"/>
      <c r="F31" s="70" t="s">
        <v>134</v>
      </c>
      <c r="G31" s="70"/>
      <c r="H31" s="70"/>
      <c r="I31" s="70"/>
    </row>
    <row r="32" spans="1:10" ht="13.95" customHeight="1" x14ac:dyDescent="0.3">
      <c r="A32" s="63" t="s">
        <v>29</v>
      </c>
      <c r="B32" s="63"/>
      <c r="C32" s="63"/>
      <c r="D32" s="63"/>
      <c r="E32" s="63"/>
      <c r="F32" s="94" t="s">
        <v>135</v>
      </c>
      <c r="G32" s="94"/>
      <c r="H32" s="94"/>
      <c r="I32" s="94"/>
      <c r="J32" s="20"/>
    </row>
    <row r="33" spans="1:9" ht="28.95" customHeight="1" x14ac:dyDescent="0.3">
      <c r="A33" s="67" t="s">
        <v>30</v>
      </c>
      <c r="B33" s="67"/>
      <c r="C33" s="67"/>
      <c r="D33" s="67"/>
      <c r="E33" s="67"/>
      <c r="F33" s="72" t="s">
        <v>136</v>
      </c>
      <c r="G33" s="73"/>
      <c r="H33" s="73"/>
      <c r="I33" s="74"/>
    </row>
    <row r="34" spans="1:9" ht="28.2" customHeight="1" x14ac:dyDescent="0.3">
      <c r="A34" s="67" t="s">
        <v>31</v>
      </c>
      <c r="B34" s="67"/>
      <c r="C34" s="67"/>
      <c r="D34" s="67"/>
      <c r="E34" s="67"/>
      <c r="F34" s="72" t="s">
        <v>137</v>
      </c>
      <c r="G34" s="73"/>
      <c r="H34" s="73"/>
      <c r="I34" s="74"/>
    </row>
    <row r="35" spans="1:9" ht="20.399999999999999" customHeight="1" x14ac:dyDescent="0.3">
      <c r="A35" s="63" t="s">
        <v>32</v>
      </c>
      <c r="B35" s="63"/>
      <c r="C35" s="63"/>
      <c r="D35" s="63"/>
      <c r="E35" s="63"/>
      <c r="F35" s="72"/>
      <c r="G35" s="73"/>
      <c r="H35" s="73"/>
      <c r="I35" s="74"/>
    </row>
    <row r="36" spans="1:9" ht="20.399999999999999" customHeight="1" x14ac:dyDescent="0.3">
      <c r="A36" s="63" t="s">
        <v>33</v>
      </c>
      <c r="B36" s="63"/>
      <c r="C36" s="63"/>
      <c r="D36" s="63"/>
      <c r="E36" s="63"/>
      <c r="F36" s="72"/>
      <c r="G36" s="73"/>
      <c r="H36" s="73"/>
      <c r="I36" s="74"/>
    </row>
    <row r="37" spans="1:9" ht="20.399999999999999" customHeight="1" x14ac:dyDescent="0.3">
      <c r="A37" s="63" t="s">
        <v>93</v>
      </c>
      <c r="B37" s="63"/>
      <c r="C37" s="63"/>
      <c r="D37" s="63"/>
      <c r="E37" s="63"/>
      <c r="F37" s="22"/>
      <c r="G37" s="23"/>
      <c r="H37" s="23"/>
      <c r="I37" s="24"/>
    </row>
    <row r="38" spans="1:9" ht="20.399999999999999" customHeight="1" x14ac:dyDescent="0.3">
      <c r="A38" s="63" t="s">
        <v>56</v>
      </c>
      <c r="B38" s="63"/>
      <c r="C38" s="63"/>
      <c r="D38" s="63"/>
      <c r="E38" s="63"/>
      <c r="F38" s="72"/>
      <c r="G38" s="73"/>
      <c r="H38" s="73"/>
      <c r="I38" s="74"/>
    </row>
    <row r="39" spans="1:9" ht="20.399999999999999" customHeight="1" x14ac:dyDescent="0.3">
      <c r="A39" s="63" t="s">
        <v>34</v>
      </c>
      <c r="B39" s="63"/>
      <c r="C39" s="63"/>
      <c r="D39" s="63"/>
      <c r="E39" s="63"/>
      <c r="F39" s="66"/>
      <c r="G39" s="66"/>
      <c r="H39" s="66"/>
      <c r="I39" s="66"/>
    </row>
    <row r="40" spans="1:9" ht="20.399999999999999" customHeight="1" x14ac:dyDescent="0.3">
      <c r="A40" s="63" t="s">
        <v>102</v>
      </c>
      <c r="B40" s="63"/>
      <c r="C40" s="63"/>
      <c r="D40" s="63"/>
      <c r="E40" s="63"/>
      <c r="F40" s="66"/>
      <c r="G40" s="66"/>
      <c r="H40" s="66"/>
      <c r="I40" s="66"/>
    </row>
    <row r="41" spans="1:9" x14ac:dyDescent="0.3">
      <c r="A41" s="63" t="s">
        <v>103</v>
      </c>
      <c r="B41" s="63"/>
      <c r="C41" s="63"/>
      <c r="D41" s="63"/>
      <c r="E41" s="63"/>
      <c r="F41" s="95" t="s">
        <v>133</v>
      </c>
      <c r="G41" s="96"/>
      <c r="H41" s="96"/>
      <c r="I41" s="97"/>
    </row>
    <row r="42" spans="1:9" x14ac:dyDescent="0.3">
      <c r="A42" s="63" t="s">
        <v>104</v>
      </c>
      <c r="B42" s="63"/>
      <c r="C42" s="63"/>
      <c r="D42" s="63"/>
      <c r="E42" s="63"/>
      <c r="F42" s="66" t="s">
        <v>35</v>
      </c>
      <c r="G42" s="66"/>
      <c r="H42" s="66"/>
      <c r="I42" s="66"/>
    </row>
    <row r="43" spans="1:9" ht="20.399999999999999" customHeight="1" x14ac:dyDescent="0.3">
      <c r="A43" s="63" t="s">
        <v>54</v>
      </c>
      <c r="B43" s="63"/>
      <c r="C43" s="63"/>
      <c r="D43" s="63"/>
      <c r="E43" s="63"/>
      <c r="F43" s="66"/>
      <c r="G43" s="66"/>
      <c r="H43" s="66"/>
      <c r="I43" s="66"/>
    </row>
    <row r="44" spans="1:9" x14ac:dyDescent="0.3">
      <c r="A44" s="16" t="s">
        <v>36</v>
      </c>
    </row>
    <row r="48" spans="1:9" x14ac:dyDescent="0.3">
      <c r="A48" s="1" t="s">
        <v>37</v>
      </c>
    </row>
    <row r="50" spans="1:9" x14ac:dyDescent="0.3">
      <c r="A50" s="10" t="s">
        <v>38</v>
      </c>
    </row>
    <row r="54" spans="1:9" x14ac:dyDescent="0.3">
      <c r="A54" s="63" t="s">
        <v>39</v>
      </c>
      <c r="B54" s="63"/>
      <c r="C54" s="63"/>
      <c r="D54" s="63"/>
      <c r="E54" s="9" t="s">
        <v>40</v>
      </c>
      <c r="F54" s="28" t="s">
        <v>51</v>
      </c>
      <c r="G54" s="28" t="s">
        <v>55</v>
      </c>
      <c r="H54" s="63" t="s">
        <v>73</v>
      </c>
      <c r="I54" s="63"/>
    </row>
    <row r="55" spans="1:9" ht="15" customHeight="1" x14ac:dyDescent="0.3">
      <c r="A55" s="21"/>
      <c r="B55" s="56" t="s">
        <v>52</v>
      </c>
      <c r="C55" s="57"/>
      <c r="D55" s="58"/>
      <c r="E55" s="18" t="s">
        <v>138</v>
      </c>
      <c r="F55" s="19" t="s">
        <v>75</v>
      </c>
      <c r="G55" s="29"/>
      <c r="H55" s="65"/>
      <c r="I55" s="65"/>
    </row>
    <row r="56" spans="1:9" ht="14.4" customHeight="1" x14ac:dyDescent="0.3">
      <c r="A56" s="21"/>
      <c r="B56" s="56" t="s">
        <v>53</v>
      </c>
      <c r="C56" s="57"/>
      <c r="D56" s="58"/>
      <c r="E56" s="19" t="s">
        <v>139</v>
      </c>
      <c r="F56" s="19" t="s">
        <v>75</v>
      </c>
      <c r="G56" s="19"/>
      <c r="H56" s="55"/>
      <c r="I56" s="55"/>
    </row>
    <row r="57" spans="1:9" ht="14.4" customHeight="1" x14ac:dyDescent="0.3">
      <c r="A57" s="21"/>
      <c r="B57" s="56" t="s">
        <v>53</v>
      </c>
      <c r="C57" s="57"/>
      <c r="D57" s="58"/>
      <c r="E57" s="30" t="s">
        <v>140</v>
      </c>
      <c r="F57" s="19" t="s">
        <v>75</v>
      </c>
      <c r="G57" s="19"/>
      <c r="H57" s="55"/>
      <c r="I57" s="55"/>
    </row>
    <row r="58" spans="1:9" ht="15" customHeight="1" x14ac:dyDescent="0.3">
      <c r="A58" s="21"/>
      <c r="B58" s="56"/>
      <c r="C58" s="57"/>
      <c r="D58" s="58"/>
      <c r="E58" s="19"/>
      <c r="F58" s="19"/>
      <c r="G58" s="29"/>
      <c r="H58" s="60"/>
      <c r="I58" s="60"/>
    </row>
    <row r="59" spans="1:9" ht="16.2" customHeight="1" x14ac:dyDescent="0.3">
      <c r="A59" s="21"/>
      <c r="B59" s="56"/>
      <c r="C59" s="57"/>
      <c r="D59" s="58"/>
      <c r="E59" s="9"/>
      <c r="F59" s="19"/>
      <c r="G59" s="19"/>
      <c r="H59" s="65"/>
      <c r="I59" s="65"/>
    </row>
    <row r="60" spans="1:9" ht="16.2" customHeight="1" x14ac:dyDescent="0.3">
      <c r="A60" s="21"/>
      <c r="B60" s="56"/>
      <c r="C60" s="57"/>
      <c r="D60" s="58"/>
      <c r="E60" s="9"/>
      <c r="F60" s="19"/>
      <c r="G60" s="19"/>
      <c r="H60" s="65"/>
      <c r="I60" s="65"/>
    </row>
    <row r="61" spans="1:9" x14ac:dyDescent="0.3">
      <c r="A61" s="21"/>
      <c r="B61" s="56"/>
      <c r="C61" s="57"/>
      <c r="D61" s="58"/>
      <c r="F61" s="19"/>
      <c r="G61" s="19"/>
      <c r="H61" s="62"/>
      <c r="I61" s="62"/>
    </row>
    <row r="62" spans="1:9" ht="14.4" customHeight="1" x14ac:dyDescent="0.3">
      <c r="A62" s="21"/>
      <c r="B62" s="56"/>
      <c r="C62" s="57"/>
      <c r="D62" s="58"/>
      <c r="E62" s="19"/>
      <c r="F62" s="19"/>
      <c r="G62" s="19"/>
      <c r="H62" s="62"/>
      <c r="I62" s="62"/>
    </row>
    <row r="63" spans="1:9" x14ac:dyDescent="0.3">
      <c r="A63" s="21"/>
      <c r="B63" s="56"/>
      <c r="C63" s="57"/>
      <c r="D63" s="58"/>
      <c r="F63" s="19"/>
      <c r="G63" s="19"/>
      <c r="H63" s="60"/>
      <c r="I63" s="60"/>
    </row>
    <row r="64" spans="1:9" ht="14.4" customHeight="1" x14ac:dyDescent="0.3">
      <c r="A64" s="21"/>
      <c r="B64" s="56"/>
      <c r="C64" s="57"/>
      <c r="D64" s="58"/>
      <c r="E64" s="9"/>
      <c r="F64" s="34"/>
      <c r="G64" s="34"/>
      <c r="H64" s="60"/>
      <c r="I64" s="60"/>
    </row>
    <row r="65" spans="1:9" ht="14.4" customHeight="1" x14ac:dyDescent="0.3">
      <c r="A65" s="21"/>
      <c r="B65" s="56"/>
      <c r="C65" s="57"/>
      <c r="D65" s="58"/>
      <c r="E65" s="19"/>
      <c r="F65" s="19"/>
      <c r="G65" s="34"/>
      <c r="H65" s="61"/>
      <c r="I65" s="61"/>
    </row>
    <row r="66" spans="1:9" ht="15" customHeight="1" x14ac:dyDescent="0.3">
      <c r="A66" s="21"/>
      <c r="B66" s="56"/>
      <c r="C66" s="57"/>
      <c r="D66" s="58"/>
      <c r="E66" s="19"/>
      <c r="F66" s="19"/>
      <c r="G66" s="29"/>
      <c r="H66" s="60"/>
      <c r="I66" s="60"/>
    </row>
    <row r="67" spans="1:9" x14ac:dyDescent="0.3">
      <c r="A67" s="21"/>
      <c r="B67" s="56"/>
      <c r="C67" s="57"/>
      <c r="D67" s="58"/>
      <c r="E67" s="19"/>
      <c r="F67" s="19"/>
      <c r="G67" s="19"/>
      <c r="H67" s="59"/>
      <c r="I67" s="59"/>
    </row>
    <row r="68" spans="1:9" x14ac:dyDescent="0.3">
      <c r="A68" s="21"/>
      <c r="B68" s="56"/>
      <c r="C68" s="57"/>
      <c r="D68" s="58"/>
      <c r="E68" s="19"/>
      <c r="F68" s="19"/>
      <c r="G68" s="19"/>
      <c r="H68" s="60"/>
      <c r="I68" s="60"/>
    </row>
    <row r="69" spans="1:9" x14ac:dyDescent="0.3">
      <c r="A69" s="21"/>
      <c r="B69" s="56"/>
      <c r="C69" s="57"/>
      <c r="D69" s="58"/>
      <c r="E69" s="19"/>
      <c r="F69" s="19"/>
      <c r="G69" s="19"/>
      <c r="H69" s="60"/>
      <c r="I69" s="60"/>
    </row>
    <row r="70" spans="1:9" x14ac:dyDescent="0.3">
      <c r="A70" s="21"/>
      <c r="B70" s="56"/>
      <c r="C70" s="57"/>
      <c r="D70" s="58"/>
      <c r="E70" s="19"/>
      <c r="F70" s="19"/>
      <c r="G70" s="19"/>
      <c r="H70" s="60"/>
      <c r="I70" s="60"/>
    </row>
    <row r="71" spans="1:9" x14ac:dyDescent="0.3">
      <c r="A71" s="21"/>
      <c r="B71" s="56"/>
      <c r="C71" s="57"/>
      <c r="D71" s="58"/>
      <c r="E71" s="19"/>
      <c r="F71" s="19"/>
      <c r="G71" s="19"/>
      <c r="H71" s="60"/>
      <c r="I71" s="60"/>
    </row>
    <row r="73" spans="1:9" x14ac:dyDescent="0.3">
      <c r="A73" s="10" t="s">
        <v>57</v>
      </c>
    </row>
    <row r="76" spans="1:9" x14ac:dyDescent="0.3">
      <c r="A76" s="25" t="s">
        <v>39</v>
      </c>
      <c r="B76" s="25"/>
      <c r="C76" s="26"/>
      <c r="D76" s="27"/>
      <c r="E76" s="26" t="s">
        <v>58</v>
      </c>
      <c r="F76" s="25" t="s">
        <v>51</v>
      </c>
      <c r="G76" s="27"/>
      <c r="H76" s="26" t="s">
        <v>41</v>
      </c>
      <c r="I76" s="27"/>
    </row>
    <row r="77" spans="1:9" x14ac:dyDescent="0.3">
      <c r="A77" s="25"/>
      <c r="B77" s="47"/>
      <c r="C77" s="49"/>
      <c r="D77" s="48"/>
      <c r="E77" s="26"/>
      <c r="F77" s="25"/>
      <c r="G77" s="27"/>
      <c r="H77" s="26"/>
      <c r="I77" s="27"/>
    </row>
    <row r="78" spans="1:9" x14ac:dyDescent="0.3">
      <c r="A78" s="25"/>
      <c r="B78" s="47"/>
      <c r="C78" s="49"/>
      <c r="D78" s="48"/>
      <c r="E78" s="26"/>
      <c r="F78" s="25"/>
      <c r="G78" s="27"/>
      <c r="H78" s="26"/>
      <c r="I78" s="27"/>
    </row>
    <row r="79" spans="1:9" x14ac:dyDescent="0.3">
      <c r="A79" s="25"/>
      <c r="B79" s="47"/>
      <c r="C79" s="49"/>
      <c r="D79" s="48"/>
      <c r="E79" s="26"/>
      <c r="F79" s="25"/>
      <c r="G79" s="27"/>
      <c r="H79" s="26"/>
      <c r="I79" s="27"/>
    </row>
    <row r="80" spans="1:9" x14ac:dyDescent="0.3">
      <c r="A80" s="25"/>
      <c r="B80" s="47"/>
      <c r="C80" s="49"/>
      <c r="D80" s="48"/>
      <c r="E80" s="26"/>
      <c r="F80" s="25"/>
      <c r="G80" s="27"/>
      <c r="H80" s="26"/>
      <c r="I80" s="27"/>
    </row>
    <row r="81" spans="1:9" x14ac:dyDescent="0.3">
      <c r="A81" s="25"/>
      <c r="B81" s="47"/>
      <c r="C81" s="49"/>
      <c r="D81" s="48"/>
      <c r="E81" s="26"/>
      <c r="F81" s="25"/>
      <c r="G81" s="27"/>
      <c r="H81" s="26"/>
      <c r="I81" s="27"/>
    </row>
    <row r="82" spans="1:9" x14ac:dyDescent="0.3">
      <c r="A82" s="25"/>
      <c r="B82" s="47"/>
      <c r="C82" s="49"/>
      <c r="D82" s="48"/>
      <c r="E82" s="26"/>
      <c r="F82" s="25"/>
      <c r="G82" s="27"/>
      <c r="H82" s="26"/>
      <c r="I82" s="27"/>
    </row>
    <row r="83" spans="1:9" x14ac:dyDescent="0.3">
      <c r="A83" s="25"/>
      <c r="B83" s="47"/>
      <c r="C83" s="49"/>
      <c r="D83" s="48"/>
      <c r="E83" s="26"/>
      <c r="F83" s="25"/>
      <c r="G83" s="27"/>
      <c r="H83" s="26"/>
      <c r="I83" s="27"/>
    </row>
    <row r="84" spans="1:9" x14ac:dyDescent="0.3">
      <c r="A84" s="25"/>
      <c r="B84" s="47"/>
      <c r="C84" s="49"/>
      <c r="D84" s="48"/>
      <c r="E84" s="26"/>
      <c r="F84" s="25"/>
      <c r="G84" s="27"/>
      <c r="H84" s="26"/>
      <c r="I84" s="27"/>
    </row>
    <row r="85" spans="1:9" x14ac:dyDescent="0.3">
      <c r="A85" s="25"/>
      <c r="B85" s="47"/>
      <c r="C85" s="49"/>
      <c r="D85" s="48"/>
      <c r="E85" s="26"/>
      <c r="F85" s="25"/>
      <c r="G85" s="27"/>
      <c r="H85" s="26"/>
      <c r="I85" s="27"/>
    </row>
    <row r="86" spans="1:9" x14ac:dyDescent="0.3">
      <c r="A86" s="25"/>
      <c r="B86" s="47"/>
      <c r="C86" s="49"/>
      <c r="D86" s="48"/>
      <c r="E86" s="26"/>
      <c r="F86" s="25"/>
      <c r="G86" s="27"/>
      <c r="H86" s="26"/>
      <c r="I86" s="27"/>
    </row>
    <row r="87" spans="1:9" x14ac:dyDescent="0.3">
      <c r="A87" s="25"/>
      <c r="B87" s="47"/>
      <c r="C87" s="49"/>
      <c r="D87" s="48"/>
      <c r="E87" s="26"/>
      <c r="F87" s="25"/>
      <c r="G87" s="27"/>
      <c r="H87" s="26"/>
      <c r="I87" s="27"/>
    </row>
    <row r="88" spans="1:9" x14ac:dyDescent="0.3">
      <c r="A88" s="25"/>
      <c r="B88" s="47"/>
      <c r="C88" s="49"/>
      <c r="D88" s="48"/>
      <c r="E88" s="26"/>
      <c r="F88" s="25"/>
      <c r="G88" s="27"/>
      <c r="H88" s="26"/>
      <c r="I88" s="27"/>
    </row>
    <row r="89" spans="1:9" x14ac:dyDescent="0.3">
      <c r="A89" s="25"/>
      <c r="B89" s="47"/>
      <c r="C89" s="49"/>
      <c r="D89" s="48"/>
      <c r="E89" s="26"/>
      <c r="F89" s="25"/>
      <c r="G89" s="27"/>
      <c r="H89" s="26"/>
      <c r="I89" s="27"/>
    </row>
    <row r="90" spans="1:9" x14ac:dyDescent="0.3">
      <c r="A90" s="25"/>
      <c r="B90" s="47"/>
      <c r="C90" s="49"/>
      <c r="D90" s="48"/>
      <c r="E90" s="26"/>
      <c r="F90" s="25"/>
      <c r="G90" s="27"/>
      <c r="H90" s="26"/>
      <c r="I90" s="27"/>
    </row>
    <row r="91" spans="1:9" x14ac:dyDescent="0.3">
      <c r="A91" s="25"/>
      <c r="B91" s="47"/>
      <c r="C91" s="49"/>
      <c r="D91" s="48"/>
      <c r="E91" s="26"/>
      <c r="F91" s="25"/>
      <c r="G91" s="27"/>
      <c r="H91" s="26"/>
      <c r="I91" s="27"/>
    </row>
    <row r="93" spans="1:9" x14ac:dyDescent="0.3">
      <c r="F93" s="47" t="s">
        <v>59</v>
      </c>
      <c r="G93" s="49"/>
      <c r="H93" s="49"/>
      <c r="I93" s="48"/>
    </row>
    <row r="94" spans="1:9" x14ac:dyDescent="0.3">
      <c r="F94" s="38"/>
      <c r="G94" s="39"/>
      <c r="H94" s="39"/>
      <c r="I94" s="40"/>
    </row>
    <row r="95" spans="1:9" x14ac:dyDescent="0.3">
      <c r="F95" s="41"/>
      <c r="G95" s="42"/>
      <c r="H95" s="42"/>
      <c r="I95" s="43"/>
    </row>
    <row r="96" spans="1:9" x14ac:dyDescent="0.3">
      <c r="F96" s="41"/>
      <c r="G96" s="42"/>
      <c r="H96" s="42"/>
      <c r="I96" s="43"/>
    </row>
    <row r="97" spans="1:9" x14ac:dyDescent="0.3">
      <c r="F97" s="41"/>
      <c r="G97" s="42"/>
      <c r="H97" s="42"/>
      <c r="I97" s="43"/>
    </row>
    <row r="98" spans="1:9" x14ac:dyDescent="0.3">
      <c r="F98" s="41"/>
      <c r="G98" s="42"/>
      <c r="H98" s="42"/>
      <c r="I98" s="43"/>
    </row>
    <row r="99" spans="1:9" x14ac:dyDescent="0.3">
      <c r="F99" s="41"/>
      <c r="G99" s="42"/>
      <c r="H99" s="42"/>
      <c r="I99" s="43"/>
    </row>
    <row r="100" spans="1:9" x14ac:dyDescent="0.3">
      <c r="F100" s="44"/>
      <c r="G100" s="45"/>
      <c r="H100" s="45"/>
      <c r="I100" s="46"/>
    </row>
    <row r="104" spans="1:9" x14ac:dyDescent="0.3">
      <c r="A104" s="10" t="s">
        <v>60</v>
      </c>
    </row>
    <row r="106" spans="1:9" x14ac:dyDescent="0.3">
      <c r="A106" s="54" t="s">
        <v>64</v>
      </c>
      <c r="B106" s="48"/>
      <c r="C106" s="26"/>
      <c r="D106" s="26"/>
      <c r="E106" s="9" t="s">
        <v>65</v>
      </c>
      <c r="F106" s="9" t="s">
        <v>68</v>
      </c>
      <c r="G106" s="26" t="s">
        <v>51</v>
      </c>
      <c r="H106" s="26"/>
      <c r="I106" s="27"/>
    </row>
    <row r="107" spans="1:9" x14ac:dyDescent="0.3">
      <c r="A107" s="47" t="s">
        <v>61</v>
      </c>
      <c r="B107" s="48"/>
      <c r="C107" s="26"/>
      <c r="D107" s="26"/>
      <c r="E107" s="9" t="s">
        <v>120</v>
      </c>
      <c r="F107" s="28" t="s">
        <v>94</v>
      </c>
      <c r="G107" s="51"/>
      <c r="H107" s="52"/>
      <c r="I107" s="53"/>
    </row>
    <row r="108" spans="1:9" x14ac:dyDescent="0.3">
      <c r="A108" s="47" t="s">
        <v>88</v>
      </c>
      <c r="B108" s="50"/>
      <c r="C108" s="26"/>
      <c r="D108" s="26"/>
      <c r="E108" s="9" t="s">
        <v>120</v>
      </c>
      <c r="F108" s="28" t="s">
        <v>87</v>
      </c>
      <c r="G108" s="35"/>
      <c r="H108" s="36"/>
      <c r="I108" s="37"/>
    </row>
    <row r="109" spans="1:9" x14ac:dyDescent="0.3">
      <c r="A109" s="47" t="s">
        <v>88</v>
      </c>
      <c r="B109" s="48"/>
      <c r="C109" s="26"/>
      <c r="D109" s="26"/>
      <c r="E109" s="9" t="s">
        <v>125</v>
      </c>
      <c r="F109" s="28" t="s">
        <v>87</v>
      </c>
      <c r="G109" s="51"/>
      <c r="H109" s="52"/>
      <c r="I109" s="53"/>
    </row>
    <row r="110" spans="1:9" x14ac:dyDescent="0.3">
      <c r="A110" s="47" t="s">
        <v>88</v>
      </c>
      <c r="B110" s="48"/>
      <c r="C110" s="26"/>
      <c r="D110" s="26"/>
      <c r="E110" s="9" t="s">
        <v>126</v>
      </c>
      <c r="F110" s="28" t="s">
        <v>87</v>
      </c>
      <c r="G110" s="51"/>
      <c r="H110" s="52"/>
      <c r="I110" s="53"/>
    </row>
    <row r="111" spans="1:9" x14ac:dyDescent="0.3">
      <c r="A111" s="47" t="s">
        <v>88</v>
      </c>
      <c r="B111" s="48"/>
      <c r="C111" s="26"/>
      <c r="D111" s="26"/>
      <c r="E111" s="9" t="s">
        <v>127</v>
      </c>
      <c r="F111" s="28" t="s">
        <v>87</v>
      </c>
      <c r="G111" s="51"/>
      <c r="H111" s="52"/>
      <c r="I111" s="53"/>
    </row>
    <row r="112" spans="1:9" x14ac:dyDescent="0.3">
      <c r="A112" s="47" t="s">
        <v>88</v>
      </c>
      <c r="B112" s="48"/>
      <c r="C112" s="26"/>
      <c r="D112" s="26"/>
      <c r="E112" s="9" t="s">
        <v>128</v>
      </c>
      <c r="F112" s="28" t="s">
        <v>87</v>
      </c>
      <c r="G112" s="35"/>
      <c r="H112" s="36"/>
      <c r="I112" s="37"/>
    </row>
    <row r="113" spans="1:9" x14ac:dyDescent="0.3">
      <c r="A113" s="47" t="s">
        <v>88</v>
      </c>
      <c r="B113" s="48"/>
      <c r="C113" s="26"/>
      <c r="D113" s="26"/>
      <c r="E113" s="9" t="s">
        <v>119</v>
      </c>
      <c r="F113" s="28" t="s">
        <v>87</v>
      </c>
      <c r="G113" s="35"/>
      <c r="H113" s="36"/>
      <c r="I113" s="37"/>
    </row>
    <row r="114" spans="1:9" x14ac:dyDescent="0.3">
      <c r="A114" s="47" t="s">
        <v>55</v>
      </c>
      <c r="B114" s="50"/>
      <c r="C114" s="26"/>
      <c r="D114" s="26"/>
      <c r="E114" s="9" t="s">
        <v>129</v>
      </c>
      <c r="F114" s="28" t="s">
        <v>66</v>
      </c>
      <c r="G114" s="35"/>
      <c r="H114" s="36"/>
      <c r="I114" s="37"/>
    </row>
    <row r="115" spans="1:9" x14ac:dyDescent="0.3">
      <c r="A115" s="47" t="s">
        <v>55</v>
      </c>
      <c r="B115" s="48"/>
      <c r="C115" s="26"/>
      <c r="D115" s="26"/>
      <c r="E115" s="9" t="s">
        <v>130</v>
      </c>
      <c r="F115" s="28" t="s">
        <v>66</v>
      </c>
      <c r="G115" s="35"/>
      <c r="H115" s="36"/>
      <c r="I115" s="37"/>
    </row>
    <row r="116" spans="1:9" x14ac:dyDescent="0.3">
      <c r="A116" s="47" t="s">
        <v>55</v>
      </c>
      <c r="B116" s="48"/>
      <c r="D116" s="26"/>
      <c r="E116" s="9" t="s">
        <v>121</v>
      </c>
      <c r="F116" s="28" t="s">
        <v>66</v>
      </c>
      <c r="G116" s="35"/>
      <c r="H116" s="36"/>
      <c r="I116" s="37"/>
    </row>
    <row r="117" spans="1:9" x14ac:dyDescent="0.3">
      <c r="A117" s="47" t="s">
        <v>55</v>
      </c>
      <c r="B117" s="48"/>
      <c r="C117" s="26"/>
      <c r="D117" s="26"/>
      <c r="E117" s="9" t="s">
        <v>131</v>
      </c>
      <c r="F117" s="28" t="s">
        <v>66</v>
      </c>
      <c r="G117" s="35"/>
      <c r="H117" s="36"/>
      <c r="I117" s="37"/>
    </row>
    <row r="118" spans="1:9" x14ac:dyDescent="0.3">
      <c r="A118" s="47" t="s">
        <v>55</v>
      </c>
      <c r="B118" s="48"/>
      <c r="C118" s="26"/>
      <c r="D118" s="26"/>
      <c r="E118" s="9" t="s">
        <v>132</v>
      </c>
      <c r="F118" s="28" t="s">
        <v>66</v>
      </c>
      <c r="G118" s="35"/>
      <c r="H118" s="36"/>
      <c r="I118" s="37"/>
    </row>
    <row r="119" spans="1:9" x14ac:dyDescent="0.3">
      <c r="A119" s="47" t="s">
        <v>55</v>
      </c>
      <c r="B119" s="48"/>
      <c r="C119" s="26"/>
      <c r="D119" s="26"/>
      <c r="E119" s="9" t="s">
        <v>129</v>
      </c>
      <c r="F119" s="28" t="s">
        <v>95</v>
      </c>
      <c r="G119" s="35"/>
      <c r="H119" s="36"/>
      <c r="I119" s="37"/>
    </row>
    <row r="120" spans="1:9" x14ac:dyDescent="0.3">
      <c r="A120" s="47" t="s">
        <v>55</v>
      </c>
      <c r="B120" s="48"/>
      <c r="C120" s="26"/>
      <c r="D120" s="26"/>
      <c r="E120" s="9" t="s">
        <v>130</v>
      </c>
      <c r="F120" s="28" t="s">
        <v>95</v>
      </c>
      <c r="G120" s="35"/>
      <c r="H120" s="36"/>
      <c r="I120" s="37"/>
    </row>
    <row r="121" spans="1:9" x14ac:dyDescent="0.3">
      <c r="A121" s="47" t="s">
        <v>55</v>
      </c>
      <c r="B121" s="48"/>
      <c r="C121" s="26"/>
      <c r="D121" s="26"/>
      <c r="E121" s="9" t="s">
        <v>121</v>
      </c>
      <c r="F121" s="28" t="s">
        <v>95</v>
      </c>
      <c r="G121" s="35"/>
      <c r="H121" s="36"/>
      <c r="I121" s="37"/>
    </row>
    <row r="122" spans="1:9" x14ac:dyDescent="0.3">
      <c r="A122" s="47" t="s">
        <v>55</v>
      </c>
      <c r="B122" s="48"/>
      <c r="C122" s="26"/>
      <c r="D122" s="26"/>
      <c r="E122" s="9" t="s">
        <v>131</v>
      </c>
      <c r="F122" s="28" t="s">
        <v>95</v>
      </c>
      <c r="G122" s="35"/>
      <c r="H122" s="36"/>
      <c r="I122" s="37"/>
    </row>
    <row r="123" spans="1:9" x14ac:dyDescent="0.3">
      <c r="A123" s="47" t="s">
        <v>55</v>
      </c>
      <c r="B123" s="48"/>
      <c r="C123" s="26"/>
      <c r="D123" s="26"/>
      <c r="E123" s="9" t="s">
        <v>132</v>
      </c>
      <c r="F123" s="28" t="s">
        <v>95</v>
      </c>
      <c r="G123" s="35"/>
      <c r="H123" s="36"/>
      <c r="I123" s="37"/>
    </row>
    <row r="124" spans="1:9" x14ac:dyDescent="0.3">
      <c r="A124" s="47" t="s">
        <v>96</v>
      </c>
      <c r="B124" s="48"/>
      <c r="C124" s="26"/>
      <c r="D124" s="26"/>
      <c r="E124" s="9" t="s">
        <v>120</v>
      </c>
      <c r="F124" s="28" t="s">
        <v>98</v>
      </c>
      <c r="G124" s="35"/>
      <c r="H124" s="36"/>
      <c r="I124" s="37"/>
    </row>
    <row r="125" spans="1:9" x14ac:dyDescent="0.3">
      <c r="A125" s="47"/>
      <c r="B125" s="48"/>
      <c r="C125" s="26"/>
      <c r="D125" s="26"/>
      <c r="E125" s="9"/>
      <c r="F125" s="28"/>
      <c r="G125" s="35"/>
      <c r="H125" s="36"/>
      <c r="I125" s="37"/>
    </row>
    <row r="126" spans="1:9" x14ac:dyDescent="0.3">
      <c r="A126" s="47"/>
      <c r="B126" s="48"/>
      <c r="C126" s="26"/>
      <c r="D126" s="26"/>
      <c r="E126" s="9"/>
      <c r="F126" s="28"/>
      <c r="G126" s="35"/>
      <c r="H126" s="36"/>
      <c r="I126" s="37"/>
    </row>
    <row r="127" spans="1:9" x14ac:dyDescent="0.3">
      <c r="A127" s="47"/>
      <c r="B127" s="48"/>
      <c r="C127" s="26"/>
      <c r="D127" s="26"/>
      <c r="E127" s="9"/>
      <c r="F127" s="28"/>
      <c r="G127" s="35"/>
      <c r="H127" s="36"/>
      <c r="I127" s="37"/>
    </row>
    <row r="128" spans="1:9" x14ac:dyDescent="0.3">
      <c r="A128" s="47"/>
      <c r="B128" s="48"/>
      <c r="C128" s="26"/>
      <c r="D128" s="26"/>
      <c r="E128" s="9"/>
      <c r="F128" s="28"/>
      <c r="G128" s="35"/>
      <c r="H128" s="36"/>
      <c r="I128" s="37"/>
    </row>
    <row r="130" spans="1:9" x14ac:dyDescent="0.3">
      <c r="A130" s="25" t="s">
        <v>69</v>
      </c>
      <c r="B130" s="26"/>
      <c r="C130" s="26"/>
      <c r="D130" s="26"/>
      <c r="E130" s="26"/>
      <c r="F130" s="26"/>
      <c r="G130" s="26"/>
      <c r="H130" s="26"/>
      <c r="I130" s="27"/>
    </row>
    <row r="131" spans="1:9" x14ac:dyDescent="0.3">
      <c r="A131" s="38"/>
      <c r="B131" s="39"/>
      <c r="C131" s="39"/>
      <c r="D131" s="39"/>
      <c r="E131" s="39"/>
      <c r="F131" s="39"/>
      <c r="G131" s="39"/>
      <c r="H131" s="39"/>
      <c r="I131" s="40"/>
    </row>
    <row r="132" spans="1:9" x14ac:dyDescent="0.3">
      <c r="A132" s="41"/>
      <c r="B132" s="42"/>
      <c r="C132" s="42"/>
      <c r="D132" s="42"/>
      <c r="E132" s="42"/>
      <c r="F132" s="42"/>
      <c r="G132" s="42"/>
      <c r="H132" s="42"/>
      <c r="I132" s="43"/>
    </row>
    <row r="133" spans="1:9" x14ac:dyDescent="0.3">
      <c r="A133" s="41"/>
      <c r="B133" s="42"/>
      <c r="C133" s="42"/>
      <c r="D133" s="42"/>
      <c r="E133" s="42"/>
      <c r="F133" s="42"/>
      <c r="G133" s="42"/>
      <c r="H133" s="42"/>
      <c r="I133" s="43"/>
    </row>
    <row r="134" spans="1:9" x14ac:dyDescent="0.3">
      <c r="A134" s="41"/>
      <c r="B134" s="42"/>
      <c r="C134" s="42"/>
      <c r="D134" s="42"/>
      <c r="E134" s="42"/>
      <c r="F134" s="42"/>
      <c r="G134" s="42"/>
      <c r="H134" s="42"/>
      <c r="I134" s="43"/>
    </row>
    <row r="135" spans="1:9" x14ac:dyDescent="0.3">
      <c r="A135" s="44"/>
      <c r="B135" s="45"/>
      <c r="C135" s="45"/>
      <c r="D135" s="45"/>
      <c r="E135" s="45"/>
      <c r="F135" s="45"/>
      <c r="G135" s="45"/>
      <c r="H135" s="45"/>
      <c r="I135" s="46"/>
    </row>
    <row r="141" spans="1:9" x14ac:dyDescent="0.3">
      <c r="A141" s="10" t="s">
        <v>82</v>
      </c>
    </row>
    <row r="142" spans="1:9" x14ac:dyDescent="0.3">
      <c r="A142" s="47" t="s">
        <v>83</v>
      </c>
      <c r="B142" s="48"/>
      <c r="C142" s="47" t="s">
        <v>84</v>
      </c>
      <c r="D142" s="49"/>
      <c r="E142" s="49"/>
      <c r="F142" s="49"/>
      <c r="G142" s="48"/>
    </row>
    <row r="143" spans="1:9" x14ac:dyDescent="0.3">
      <c r="A143" s="98"/>
      <c r="B143" s="100"/>
      <c r="C143" s="98"/>
      <c r="D143" s="99"/>
      <c r="E143" s="99"/>
      <c r="F143" s="99"/>
      <c r="G143" s="100"/>
    </row>
    <row r="144" spans="1:9" x14ac:dyDescent="0.3">
      <c r="A144" s="47"/>
      <c r="B144" s="48"/>
      <c r="C144" s="47"/>
      <c r="D144" s="49"/>
      <c r="E144" s="49"/>
      <c r="F144" s="49"/>
      <c r="G144" s="48"/>
    </row>
    <row r="145" spans="1:7" x14ac:dyDescent="0.3">
      <c r="A145" s="47"/>
      <c r="B145" s="48"/>
      <c r="C145" s="47"/>
      <c r="D145" s="49"/>
      <c r="E145" s="49"/>
      <c r="F145" s="49"/>
      <c r="G145" s="48"/>
    </row>
    <row r="146" spans="1:7" x14ac:dyDescent="0.3">
      <c r="A146" s="47"/>
      <c r="B146" s="48"/>
      <c r="C146" s="47"/>
      <c r="D146" s="49"/>
      <c r="E146" s="49"/>
      <c r="F146" s="49"/>
      <c r="G146" s="48"/>
    </row>
    <row r="147" spans="1:7" x14ac:dyDescent="0.3">
      <c r="A147" s="47"/>
      <c r="B147" s="48"/>
      <c r="C147" s="47"/>
      <c r="D147" s="49"/>
      <c r="E147" s="49"/>
      <c r="F147" s="49"/>
      <c r="G147" s="48"/>
    </row>
    <row r="148" spans="1:7" x14ac:dyDescent="0.3">
      <c r="A148" s="47"/>
      <c r="B148" s="48"/>
      <c r="C148" s="47"/>
      <c r="D148" s="49"/>
      <c r="E148" s="49"/>
      <c r="F148" s="49"/>
      <c r="G148" s="48"/>
    </row>
    <row r="149" spans="1:7" x14ac:dyDescent="0.3">
      <c r="A149" s="47"/>
      <c r="B149" s="48"/>
      <c r="C149" s="47"/>
      <c r="D149" s="49"/>
      <c r="E149" s="49"/>
      <c r="F149" s="49"/>
      <c r="G149" s="48"/>
    </row>
    <row r="150" spans="1:7" x14ac:dyDescent="0.3">
      <c r="A150" s="1" t="str">
        <f>IF(C19="DW","Dana Winters",IF(C19="GH","Gino Henderyck",IF(C19="KK","Kenny Kenis","Oleksandra Borushko")))</f>
        <v>Gino Henderyck</v>
      </c>
    </row>
    <row r="151" spans="1:7" x14ac:dyDescent="0.3">
      <c r="A151" s="1" t="str">
        <f>IF(C19="DW","Teamcoördinator Traminfra",IF(C19="GH","Specialist Traminfra","Werkvoorbereider Traminfra"))</f>
        <v>Specialist Traminfra</v>
      </c>
    </row>
    <row r="159" spans="1:7" x14ac:dyDescent="0.3">
      <c r="A159" s="10" t="s">
        <v>85</v>
      </c>
    </row>
    <row r="161" spans="1:9" x14ac:dyDescent="0.3">
      <c r="A161" s="85"/>
      <c r="B161" s="86"/>
      <c r="C161" s="86"/>
      <c r="D161" s="86"/>
      <c r="E161" s="86"/>
      <c r="F161" s="86"/>
      <c r="G161" s="86"/>
      <c r="H161" s="86"/>
      <c r="I161" s="87"/>
    </row>
    <row r="162" spans="1:9" x14ac:dyDescent="0.3">
      <c r="A162" s="88"/>
      <c r="B162" s="89"/>
      <c r="C162" s="89"/>
      <c r="D162" s="89"/>
      <c r="E162" s="89"/>
      <c r="F162" s="89"/>
      <c r="G162" s="89"/>
      <c r="H162" s="89"/>
      <c r="I162" s="90"/>
    </row>
    <row r="163" spans="1:9" x14ac:dyDescent="0.3">
      <c r="A163" s="88"/>
      <c r="B163" s="89"/>
      <c r="C163" s="89"/>
      <c r="D163" s="89"/>
      <c r="E163" s="89"/>
      <c r="F163" s="89"/>
      <c r="G163" s="89"/>
      <c r="H163" s="89"/>
      <c r="I163" s="90"/>
    </row>
    <row r="164" spans="1:9" x14ac:dyDescent="0.3">
      <c r="A164" s="88"/>
      <c r="B164" s="89"/>
      <c r="C164" s="89"/>
      <c r="D164" s="89"/>
      <c r="E164" s="89"/>
      <c r="F164" s="89"/>
      <c r="G164" s="89"/>
      <c r="H164" s="89"/>
      <c r="I164" s="90"/>
    </row>
    <row r="165" spans="1:9" x14ac:dyDescent="0.3">
      <c r="A165" s="88"/>
      <c r="B165" s="89"/>
      <c r="C165" s="89"/>
      <c r="D165" s="89"/>
      <c r="E165" s="89"/>
      <c r="F165" s="89"/>
      <c r="G165" s="89"/>
      <c r="H165" s="89"/>
      <c r="I165" s="90"/>
    </row>
    <row r="166" spans="1:9" x14ac:dyDescent="0.3">
      <c r="A166" s="88"/>
      <c r="B166" s="89"/>
      <c r="C166" s="89"/>
      <c r="D166" s="89"/>
      <c r="E166" s="89"/>
      <c r="F166" s="89"/>
      <c r="G166" s="89"/>
      <c r="H166" s="89"/>
      <c r="I166" s="90"/>
    </row>
    <row r="167" spans="1:9" x14ac:dyDescent="0.3">
      <c r="A167" s="88"/>
      <c r="B167" s="89"/>
      <c r="C167" s="89"/>
      <c r="D167" s="89"/>
      <c r="E167" s="89"/>
      <c r="F167" s="89"/>
      <c r="G167" s="89"/>
      <c r="H167" s="89"/>
      <c r="I167" s="90"/>
    </row>
    <row r="168" spans="1:9" x14ac:dyDescent="0.3">
      <c r="A168" s="88"/>
      <c r="B168" s="89"/>
      <c r="C168" s="89"/>
      <c r="D168" s="89"/>
      <c r="E168" s="89"/>
      <c r="F168" s="89"/>
      <c r="G168" s="89"/>
      <c r="H168" s="89"/>
      <c r="I168" s="90"/>
    </row>
    <row r="169" spans="1:9" x14ac:dyDescent="0.3">
      <c r="A169" s="88"/>
      <c r="B169" s="89"/>
      <c r="C169" s="89"/>
      <c r="D169" s="89"/>
      <c r="E169" s="89"/>
      <c r="F169" s="89"/>
      <c r="G169" s="89"/>
      <c r="H169" s="89"/>
      <c r="I169" s="90"/>
    </row>
    <row r="170" spans="1:9" x14ac:dyDescent="0.3">
      <c r="A170" s="88"/>
      <c r="B170" s="89"/>
      <c r="C170" s="89"/>
      <c r="D170" s="89"/>
      <c r="E170" s="89"/>
      <c r="F170" s="89"/>
      <c r="G170" s="89"/>
      <c r="H170" s="89"/>
      <c r="I170" s="90"/>
    </row>
    <row r="171" spans="1:9" x14ac:dyDescent="0.3">
      <c r="A171" s="88"/>
      <c r="B171" s="89"/>
      <c r="C171" s="89"/>
      <c r="D171" s="89"/>
      <c r="E171" s="89"/>
      <c r="F171" s="89"/>
      <c r="G171" s="89"/>
      <c r="H171" s="89"/>
      <c r="I171" s="90"/>
    </row>
    <row r="172" spans="1:9" x14ac:dyDescent="0.3">
      <c r="A172" s="88"/>
      <c r="B172" s="89"/>
      <c r="C172" s="89"/>
      <c r="D172" s="89"/>
      <c r="E172" s="89"/>
      <c r="F172" s="89"/>
      <c r="G172" s="89"/>
      <c r="H172" s="89"/>
      <c r="I172" s="90"/>
    </row>
    <row r="173" spans="1:9" x14ac:dyDescent="0.3">
      <c r="A173" s="88"/>
      <c r="B173" s="89"/>
      <c r="C173" s="89"/>
      <c r="D173" s="89"/>
      <c r="E173" s="89"/>
      <c r="F173" s="89"/>
      <c r="G173" s="89"/>
      <c r="H173" s="89"/>
      <c r="I173" s="90"/>
    </row>
    <row r="174" spans="1:9" x14ac:dyDescent="0.3">
      <c r="A174" s="88"/>
      <c r="B174" s="89"/>
      <c r="C174" s="89"/>
      <c r="D174" s="89"/>
      <c r="E174" s="89"/>
      <c r="F174" s="89"/>
      <c r="G174" s="89"/>
      <c r="H174" s="89"/>
      <c r="I174" s="90"/>
    </row>
    <row r="175" spans="1:9" x14ac:dyDescent="0.3">
      <c r="A175" s="88"/>
      <c r="B175" s="89"/>
      <c r="C175" s="89"/>
      <c r="D175" s="89"/>
      <c r="E175" s="89"/>
      <c r="F175" s="89"/>
      <c r="G175" s="89"/>
      <c r="H175" s="89"/>
      <c r="I175" s="90"/>
    </row>
    <row r="176" spans="1:9" x14ac:dyDescent="0.3">
      <c r="A176" s="88"/>
      <c r="B176" s="89"/>
      <c r="C176" s="89"/>
      <c r="D176" s="89"/>
      <c r="E176" s="89"/>
      <c r="F176" s="89"/>
      <c r="G176" s="89"/>
      <c r="H176" s="89"/>
      <c r="I176" s="90"/>
    </row>
    <row r="177" spans="1:9" x14ac:dyDescent="0.3">
      <c r="A177" s="88"/>
      <c r="B177" s="89"/>
      <c r="C177" s="89"/>
      <c r="D177" s="89"/>
      <c r="E177" s="89"/>
      <c r="F177" s="89"/>
      <c r="G177" s="89"/>
      <c r="H177" s="89"/>
      <c r="I177" s="90"/>
    </row>
    <row r="178" spans="1:9" x14ac:dyDescent="0.3">
      <c r="A178" s="88"/>
      <c r="B178" s="89"/>
      <c r="C178" s="89"/>
      <c r="D178" s="89"/>
      <c r="E178" s="89"/>
      <c r="F178" s="89"/>
      <c r="G178" s="89"/>
      <c r="H178" s="89"/>
      <c r="I178" s="90"/>
    </row>
    <row r="179" spans="1:9" x14ac:dyDescent="0.3">
      <c r="A179" s="88"/>
      <c r="B179" s="89"/>
      <c r="C179" s="89"/>
      <c r="D179" s="89"/>
      <c r="E179" s="89"/>
      <c r="F179" s="89"/>
      <c r="G179" s="89"/>
      <c r="H179" s="89"/>
      <c r="I179" s="90"/>
    </row>
    <row r="180" spans="1:9" x14ac:dyDescent="0.3">
      <c r="A180" s="88"/>
      <c r="B180" s="89"/>
      <c r="C180" s="89"/>
      <c r="D180" s="89"/>
      <c r="E180" s="89"/>
      <c r="F180" s="89"/>
      <c r="G180" s="89"/>
      <c r="H180" s="89"/>
      <c r="I180" s="90"/>
    </row>
    <row r="181" spans="1:9" x14ac:dyDescent="0.3">
      <c r="A181" s="88"/>
      <c r="B181" s="89"/>
      <c r="C181" s="89"/>
      <c r="D181" s="89"/>
      <c r="E181" s="89"/>
      <c r="F181" s="89"/>
      <c r="G181" s="89"/>
      <c r="H181" s="89"/>
      <c r="I181" s="90"/>
    </row>
    <row r="182" spans="1:9" x14ac:dyDescent="0.3">
      <c r="A182" s="91"/>
      <c r="B182" s="92"/>
      <c r="C182" s="92"/>
      <c r="D182" s="92"/>
      <c r="E182" s="92"/>
      <c r="F182" s="92"/>
      <c r="G182" s="92"/>
      <c r="H182" s="92"/>
      <c r="I182" s="93"/>
    </row>
    <row r="183" spans="1:9" x14ac:dyDescent="0.3">
      <c r="A183" s="1" t="s">
        <v>115</v>
      </c>
      <c r="F183" s="31">
        <f>COUNTIF($F$107:$F$128,"Afbakenen")</f>
        <v>5</v>
      </c>
    </row>
    <row r="184" spans="1:9" x14ac:dyDescent="0.3">
      <c r="A184" s="1" t="s">
        <v>113</v>
      </c>
      <c r="F184" s="32">
        <f>COUNTIF($F$107:$F$128,"Openen + LoTo") + COUNTIF(F107:F128,"Sluiten + LoTo")</f>
        <v>1</v>
      </c>
    </row>
    <row r="185" spans="1:9" x14ac:dyDescent="0.3">
      <c r="A185" s="1" t="s">
        <v>114</v>
      </c>
      <c r="F185" s="33">
        <f>COUNTIF($F$107:$F$128,"Kortsluiten")*2</f>
        <v>2</v>
      </c>
    </row>
    <row r="186" spans="1:9" x14ac:dyDescent="0.3">
      <c r="A186" s="10" t="s">
        <v>99</v>
      </c>
    </row>
    <row r="187" spans="1:9" ht="13.8" customHeight="1" x14ac:dyDescent="0.3"/>
    <row r="188" spans="1:9" x14ac:dyDescent="0.3">
      <c r="A188" s="85"/>
      <c r="B188" s="86"/>
      <c r="C188" s="86"/>
      <c r="D188" s="86"/>
      <c r="E188" s="86"/>
      <c r="F188" s="86"/>
      <c r="G188" s="86"/>
      <c r="H188" s="86"/>
      <c r="I188" s="87"/>
    </row>
    <row r="189" spans="1:9" x14ac:dyDescent="0.3">
      <c r="A189" s="88"/>
      <c r="B189" s="89"/>
      <c r="C189" s="89"/>
      <c r="D189" s="89"/>
      <c r="E189" s="89"/>
      <c r="F189" s="89"/>
      <c r="G189" s="89"/>
      <c r="H189" s="89"/>
      <c r="I189" s="90"/>
    </row>
    <row r="190" spans="1:9" x14ac:dyDescent="0.3">
      <c r="A190" s="88"/>
      <c r="B190" s="89"/>
      <c r="C190" s="89"/>
      <c r="D190" s="89"/>
      <c r="E190" s="89"/>
      <c r="F190" s="89"/>
      <c r="G190" s="89"/>
      <c r="H190" s="89"/>
      <c r="I190" s="90"/>
    </row>
    <row r="191" spans="1:9" x14ac:dyDescent="0.3">
      <c r="A191" s="88"/>
      <c r="B191" s="89"/>
      <c r="C191" s="89"/>
      <c r="D191" s="89"/>
      <c r="E191" s="89"/>
      <c r="F191" s="89"/>
      <c r="G191" s="89"/>
      <c r="H191" s="89"/>
      <c r="I191" s="90"/>
    </row>
    <row r="192" spans="1:9" x14ac:dyDescent="0.3">
      <c r="A192" s="88"/>
      <c r="B192" s="89"/>
      <c r="C192" s="89"/>
      <c r="D192" s="89"/>
      <c r="E192" s="89"/>
      <c r="F192" s="89"/>
      <c r="G192" s="89"/>
      <c r="H192" s="89"/>
      <c r="I192" s="90"/>
    </row>
    <row r="193" spans="1:9" x14ac:dyDescent="0.3">
      <c r="A193" s="88"/>
      <c r="B193" s="89"/>
      <c r="C193" s="89"/>
      <c r="D193" s="89"/>
      <c r="E193" s="89"/>
      <c r="F193" s="89"/>
      <c r="G193" s="89"/>
      <c r="H193" s="89"/>
      <c r="I193" s="90"/>
    </row>
    <row r="194" spans="1:9" x14ac:dyDescent="0.3">
      <c r="A194" s="88"/>
      <c r="B194" s="89"/>
      <c r="C194" s="89"/>
      <c r="D194" s="89"/>
      <c r="E194" s="89"/>
      <c r="F194" s="89"/>
      <c r="G194" s="89"/>
      <c r="H194" s="89"/>
      <c r="I194" s="90"/>
    </row>
    <row r="195" spans="1:9" x14ac:dyDescent="0.3">
      <c r="A195" s="88"/>
      <c r="B195" s="89"/>
      <c r="C195" s="89"/>
      <c r="D195" s="89"/>
      <c r="E195" s="89"/>
      <c r="F195" s="89"/>
      <c r="G195" s="89"/>
      <c r="H195" s="89"/>
      <c r="I195" s="90"/>
    </row>
    <row r="196" spans="1:9" x14ac:dyDescent="0.3">
      <c r="A196" s="88"/>
      <c r="B196" s="89"/>
      <c r="C196" s="89"/>
      <c r="D196" s="89"/>
      <c r="E196" s="89"/>
      <c r="F196" s="89"/>
      <c r="G196" s="89"/>
      <c r="H196" s="89"/>
      <c r="I196" s="90"/>
    </row>
    <row r="197" spans="1:9" x14ac:dyDescent="0.3">
      <c r="A197" s="88"/>
      <c r="B197" s="89"/>
      <c r="C197" s="89"/>
      <c r="D197" s="89"/>
      <c r="E197" s="89"/>
      <c r="F197" s="89"/>
      <c r="G197" s="89"/>
      <c r="H197" s="89"/>
      <c r="I197" s="90"/>
    </row>
    <row r="198" spans="1:9" x14ac:dyDescent="0.3">
      <c r="A198" s="88"/>
      <c r="B198" s="89"/>
      <c r="C198" s="89"/>
      <c r="D198" s="89"/>
      <c r="E198" s="89"/>
      <c r="F198" s="89"/>
      <c r="G198" s="89"/>
      <c r="H198" s="89"/>
      <c r="I198" s="90"/>
    </row>
    <row r="199" spans="1:9" ht="13.95" customHeight="1" x14ac:dyDescent="0.3">
      <c r="A199" s="88"/>
      <c r="B199" s="89"/>
      <c r="C199" s="89"/>
      <c r="D199" s="89"/>
      <c r="E199" s="89"/>
      <c r="F199" s="89"/>
      <c r="G199" s="89"/>
      <c r="H199" s="89"/>
      <c r="I199" s="90"/>
    </row>
    <row r="200" spans="1:9" x14ac:dyDescent="0.3">
      <c r="A200" s="88"/>
      <c r="B200" s="89"/>
      <c r="C200" s="89"/>
      <c r="D200" s="89"/>
      <c r="E200" s="89"/>
      <c r="F200" s="89"/>
      <c r="G200" s="89"/>
      <c r="H200" s="89"/>
      <c r="I200" s="90"/>
    </row>
    <row r="201" spans="1:9" x14ac:dyDescent="0.3">
      <c r="A201" s="88"/>
      <c r="B201" s="89"/>
      <c r="C201" s="89"/>
      <c r="D201" s="89"/>
      <c r="E201" s="89"/>
      <c r="F201" s="89"/>
      <c r="G201" s="89"/>
      <c r="H201" s="89"/>
      <c r="I201" s="90"/>
    </row>
    <row r="202" spans="1:9" x14ac:dyDescent="0.3">
      <c r="A202" s="88"/>
      <c r="B202" s="89"/>
      <c r="C202" s="89"/>
      <c r="D202" s="89"/>
      <c r="E202" s="89"/>
      <c r="F202" s="89"/>
      <c r="G202" s="89"/>
      <c r="H202" s="89"/>
      <c r="I202" s="90"/>
    </row>
    <row r="203" spans="1:9" x14ac:dyDescent="0.3">
      <c r="A203" s="88"/>
      <c r="B203" s="89"/>
      <c r="C203" s="89"/>
      <c r="D203" s="89"/>
      <c r="E203" s="89"/>
      <c r="F203" s="89"/>
      <c r="G203" s="89"/>
      <c r="H203" s="89"/>
      <c r="I203" s="90"/>
    </row>
    <row r="204" spans="1:9" x14ac:dyDescent="0.3">
      <c r="A204" s="88"/>
      <c r="B204" s="89"/>
      <c r="C204" s="89"/>
      <c r="D204" s="89"/>
      <c r="E204" s="89"/>
      <c r="F204" s="89"/>
      <c r="G204" s="89"/>
      <c r="H204" s="89"/>
      <c r="I204" s="90"/>
    </row>
    <row r="205" spans="1:9" x14ac:dyDescent="0.3">
      <c r="A205" s="88"/>
      <c r="B205" s="89"/>
      <c r="C205" s="89"/>
      <c r="D205" s="89"/>
      <c r="E205" s="89"/>
      <c r="F205" s="89"/>
      <c r="G205" s="89"/>
      <c r="H205" s="89"/>
      <c r="I205" s="90"/>
    </row>
    <row r="206" spans="1:9" x14ac:dyDescent="0.3">
      <c r="A206" s="88"/>
      <c r="B206" s="89"/>
      <c r="C206" s="89"/>
      <c r="D206" s="89"/>
      <c r="E206" s="89"/>
      <c r="F206" s="89"/>
      <c r="G206" s="89"/>
      <c r="H206" s="89"/>
      <c r="I206" s="90"/>
    </row>
    <row r="207" spans="1:9" x14ac:dyDescent="0.3">
      <c r="A207" s="88"/>
      <c r="B207" s="89"/>
      <c r="C207" s="89"/>
      <c r="D207" s="89"/>
      <c r="E207" s="89"/>
      <c r="F207" s="89"/>
      <c r="G207" s="89"/>
      <c r="H207" s="89"/>
      <c r="I207" s="90"/>
    </row>
    <row r="208" spans="1:9" x14ac:dyDescent="0.3">
      <c r="A208" s="88"/>
      <c r="B208" s="89"/>
      <c r="C208" s="89"/>
      <c r="D208" s="89"/>
      <c r="E208" s="89"/>
      <c r="F208" s="89"/>
      <c r="G208" s="89"/>
      <c r="H208" s="89"/>
      <c r="I208" s="90"/>
    </row>
    <row r="209" spans="1:9" x14ac:dyDescent="0.3">
      <c r="A209" s="91"/>
      <c r="B209" s="92"/>
      <c r="C209" s="92"/>
      <c r="D209" s="92"/>
      <c r="E209" s="92"/>
      <c r="F209" s="92"/>
      <c r="G209" s="92"/>
      <c r="H209" s="92"/>
      <c r="I209" s="93"/>
    </row>
  </sheetData>
  <mergeCells count="162">
    <mergeCell ref="C142:G142"/>
    <mergeCell ref="C143:G143"/>
    <mergeCell ref="C144:G144"/>
    <mergeCell ref="C145:G145"/>
    <mergeCell ref="C146:G146"/>
    <mergeCell ref="C147:G147"/>
    <mergeCell ref="C148:G148"/>
    <mergeCell ref="C149:G149"/>
    <mergeCell ref="A142:B142"/>
    <mergeCell ref="A143:B143"/>
    <mergeCell ref="A144:B144"/>
    <mergeCell ref="A145:B145"/>
    <mergeCell ref="A146:B146"/>
    <mergeCell ref="A147:B147"/>
    <mergeCell ref="A148:B148"/>
    <mergeCell ref="A149:B149"/>
    <mergeCell ref="A161:I182"/>
    <mergeCell ref="A188:I209"/>
    <mergeCell ref="F32:I32"/>
    <mergeCell ref="F33:I33"/>
    <mergeCell ref="F34:I34"/>
    <mergeCell ref="F36:I36"/>
    <mergeCell ref="A30:E30"/>
    <mergeCell ref="A31:E31"/>
    <mergeCell ref="A32:E32"/>
    <mergeCell ref="F41:I41"/>
    <mergeCell ref="H55:I55"/>
    <mergeCell ref="H58:I58"/>
    <mergeCell ref="A40:E40"/>
    <mergeCell ref="F40:I40"/>
    <mergeCell ref="F43:I43"/>
    <mergeCell ref="A41:E41"/>
    <mergeCell ref="A43:E43"/>
    <mergeCell ref="H59:I59"/>
    <mergeCell ref="A42:E42"/>
    <mergeCell ref="F42:I42"/>
    <mergeCell ref="B55:D55"/>
    <mergeCell ref="B56:D56"/>
    <mergeCell ref="B57:D57"/>
    <mergeCell ref="B58:D58"/>
    <mergeCell ref="A26:E26"/>
    <mergeCell ref="G3:H3"/>
    <mergeCell ref="G5:H5"/>
    <mergeCell ref="A13:B13"/>
    <mergeCell ref="A14:B14"/>
    <mergeCell ref="A25:E25"/>
    <mergeCell ref="C7:I8"/>
    <mergeCell ref="F25:I25"/>
    <mergeCell ref="A11:B11"/>
    <mergeCell ref="A12:B12"/>
    <mergeCell ref="F26:I26"/>
    <mergeCell ref="A21:G22"/>
    <mergeCell ref="A27:E27"/>
    <mergeCell ref="A28:E28"/>
    <mergeCell ref="F39:I39"/>
    <mergeCell ref="A33:E33"/>
    <mergeCell ref="A34:E34"/>
    <mergeCell ref="A37:E37"/>
    <mergeCell ref="F30:I30"/>
    <mergeCell ref="F31:I31"/>
    <mergeCell ref="A36:E36"/>
    <mergeCell ref="A35:E35"/>
    <mergeCell ref="A39:E39"/>
    <mergeCell ref="F27:I27"/>
    <mergeCell ref="F28:I28"/>
    <mergeCell ref="F38:I38"/>
    <mergeCell ref="A38:E38"/>
    <mergeCell ref="F35:I35"/>
    <mergeCell ref="A54:D54"/>
    <mergeCell ref="H54:I54"/>
    <mergeCell ref="A29:E29"/>
    <mergeCell ref="F29:I29"/>
    <mergeCell ref="B71:D71"/>
    <mergeCell ref="H61:I61"/>
    <mergeCell ref="B77:D77"/>
    <mergeCell ref="B78:D78"/>
    <mergeCell ref="H66:I66"/>
    <mergeCell ref="B65:D65"/>
    <mergeCell ref="B66:D66"/>
    <mergeCell ref="H60:I60"/>
    <mergeCell ref="B79:D79"/>
    <mergeCell ref="B80:D80"/>
    <mergeCell ref="B81:D81"/>
    <mergeCell ref="H56:I56"/>
    <mergeCell ref="B68:D68"/>
    <mergeCell ref="B69:D69"/>
    <mergeCell ref="B70:D70"/>
    <mergeCell ref="H67:I67"/>
    <mergeCell ref="H69:I69"/>
    <mergeCell ref="H70:I70"/>
    <mergeCell ref="H71:I71"/>
    <mergeCell ref="B61:D61"/>
    <mergeCell ref="B62:D62"/>
    <mergeCell ref="B63:D63"/>
    <mergeCell ref="B64:D64"/>
    <mergeCell ref="B67:D67"/>
    <mergeCell ref="H57:I57"/>
    <mergeCell ref="H68:I68"/>
    <mergeCell ref="H64:I64"/>
    <mergeCell ref="H65:I65"/>
    <mergeCell ref="H62:I62"/>
    <mergeCell ref="H63:I63"/>
    <mergeCell ref="B59:D59"/>
    <mergeCell ref="B60:D60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A112:B112"/>
    <mergeCell ref="A113:B113"/>
    <mergeCell ref="A114:B114"/>
    <mergeCell ref="A115:B115"/>
    <mergeCell ref="A116:B116"/>
    <mergeCell ref="A117:B117"/>
    <mergeCell ref="A118:B118"/>
    <mergeCell ref="A119:B119"/>
    <mergeCell ref="G112:I112"/>
    <mergeCell ref="G113:I113"/>
    <mergeCell ref="G114:I114"/>
    <mergeCell ref="G115:I115"/>
    <mergeCell ref="G116:I116"/>
    <mergeCell ref="G117:I117"/>
    <mergeCell ref="G118:I118"/>
    <mergeCell ref="G119:I119"/>
    <mergeCell ref="B91:D91"/>
    <mergeCell ref="F93:I93"/>
    <mergeCell ref="F94:I100"/>
    <mergeCell ref="A107:B107"/>
    <mergeCell ref="A108:B108"/>
    <mergeCell ref="A109:B109"/>
    <mergeCell ref="A110:B110"/>
    <mergeCell ref="A111:B111"/>
    <mergeCell ref="G107:I107"/>
    <mergeCell ref="G108:I108"/>
    <mergeCell ref="G109:I109"/>
    <mergeCell ref="G110:I110"/>
    <mergeCell ref="G111:I111"/>
    <mergeCell ref="A106:B106"/>
    <mergeCell ref="G121:I121"/>
    <mergeCell ref="G122:I122"/>
    <mergeCell ref="G123:I123"/>
    <mergeCell ref="G124:I124"/>
    <mergeCell ref="G125:I125"/>
    <mergeCell ref="G127:I127"/>
    <mergeCell ref="G128:I128"/>
    <mergeCell ref="A131:I135"/>
    <mergeCell ref="A120:B120"/>
    <mergeCell ref="A121:B121"/>
    <mergeCell ref="A122:B122"/>
    <mergeCell ref="A123:B123"/>
    <mergeCell ref="A124:B124"/>
    <mergeCell ref="A125:B125"/>
    <mergeCell ref="A127:B127"/>
    <mergeCell ref="A128:B128"/>
    <mergeCell ref="A126:B126"/>
    <mergeCell ref="G126:I126"/>
    <mergeCell ref="G120:I120"/>
  </mergeCells>
  <phoneticPr fontId="20" type="noConversion"/>
  <conditionalFormatting sqref="B56:D71">
    <cfRule type="cellIs" dxfId="21" priority="24" operator="equal">
      <formula>"Randfeeder"</formula>
    </cfRule>
    <cfRule type="cellIs" dxfId="20" priority="25" operator="equal">
      <formula>"Hoofdfeeder"</formula>
    </cfRule>
  </conditionalFormatting>
  <conditionalFormatting sqref="B55:D55">
    <cfRule type="cellIs" dxfId="19" priority="22" operator="equal">
      <formula>"Randfeeder"</formula>
    </cfRule>
    <cfRule type="cellIs" dxfId="18" priority="23" operator="equal">
      <formula>"Hoofdfeeder"</formula>
    </cfRule>
  </conditionalFormatting>
  <conditionalFormatting sqref="B55:D71">
    <cfRule type="cellIs" dxfId="17" priority="11" operator="equal">
      <formula>"Groepen"</formula>
    </cfRule>
    <cfRule type="cellIs" dxfId="16" priority="19" operator="equal">
      <formula>"Sectiemes"</formula>
    </cfRule>
  </conditionalFormatting>
  <conditionalFormatting sqref="B77:D91">
    <cfRule type="cellIs" dxfId="15" priority="8" operator="equal">
      <formula>"Groepen"</formula>
    </cfRule>
    <cfRule type="cellIs" dxfId="14" priority="16" operator="equal">
      <formula>"Sectiemes"</formula>
    </cfRule>
    <cfRule type="cellIs" dxfId="13" priority="17" operator="equal">
      <formula>"Randfeeder"</formula>
    </cfRule>
    <cfRule type="cellIs" dxfId="12" priority="18" operator="equal">
      <formula>"Hoofdfeeder"</formula>
    </cfRule>
  </conditionalFormatting>
  <conditionalFormatting sqref="A107:B128">
    <cfRule type="cellIs" dxfId="11" priority="10" operator="equal">
      <formula>"Voedingszone"</formula>
    </cfRule>
    <cfRule type="cellIs" dxfId="10" priority="12" operator="equal">
      <formula>"Meten"</formula>
    </cfRule>
    <cfRule type="cellIs" dxfId="9" priority="13" operator="equal">
      <formula>"Sectie/voedingsmes"</formula>
    </cfRule>
    <cfRule type="cellIs" dxfId="8" priority="14" operator="equal">
      <formula>"Voedingsmes"</formula>
    </cfRule>
    <cfRule type="cellIs" dxfId="7" priority="15" operator="equal">
      <formula>"Sectiemes"</formula>
    </cfRule>
  </conditionalFormatting>
  <conditionalFormatting sqref="F107:F128">
    <cfRule type="cellIs" dxfId="6" priority="9" operator="equal">
      <formula>"Werkmannetje/noodpadverlichting"</formula>
    </cfRule>
  </conditionalFormatting>
  <conditionalFormatting sqref="F183">
    <cfRule type="expression" dxfId="5" priority="5">
      <formula>$F$183&gt;0</formula>
    </cfRule>
    <cfRule type="expression" dxfId="4" priority="6">
      <formula>$F$183=0</formula>
    </cfRule>
  </conditionalFormatting>
  <conditionalFormatting sqref="F184">
    <cfRule type="expression" dxfId="3" priority="3">
      <formula>$F$184&gt;0</formula>
    </cfRule>
    <cfRule type="expression" dxfId="2" priority="4">
      <formula>$F$184=0</formula>
    </cfRule>
  </conditionalFormatting>
  <conditionalFormatting sqref="F185">
    <cfRule type="expression" dxfId="1" priority="1">
      <formula>$F$185&gt;0</formula>
    </cfRule>
    <cfRule type="expression" dxfId="0" priority="2">
      <formula>$F$185=0</formula>
    </cfRule>
  </conditionalFormatting>
  <hyperlinks>
    <hyperlink ref="F32" r:id="rId1" xr:uid="{0BCC256E-E128-46F2-9D9D-A3EF6614F898}"/>
  </hyperlinks>
  <pageMargins left="0.11811023622047245" right="0.11811023622047245" top="0.35433070866141736" bottom="0.15748031496062992" header="0.31496062992125984" footer="0.31496062992125984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1082" r:id="rId5" name="Leegmaken">
          <controlPr locked="0" defaultSize="0" autoLine="0" r:id="rId6">
            <anchor moveWithCells="1">
              <from>
                <xdr:col>11</xdr:col>
                <xdr:colOff>365760</xdr:colOff>
                <xdr:row>5</xdr:row>
                <xdr:rowOff>60960</xdr:rowOff>
              </from>
              <to>
                <xdr:col>13</xdr:col>
                <xdr:colOff>449580</xdr:colOff>
                <xdr:row>7</xdr:row>
                <xdr:rowOff>15240</xdr:rowOff>
              </to>
            </anchor>
          </controlPr>
        </control>
      </mc:Choice>
      <mc:Fallback>
        <control shapeId="1082" r:id="rId5" name="Leegmaken"/>
      </mc:Fallback>
    </mc:AlternateContent>
    <mc:AlternateContent xmlns:mc="http://schemas.openxmlformats.org/markup-compatibility/2006">
      <mc:Choice Requires="x14">
        <control shapeId="1048" r:id="rId7" name="OpslaanMAilen">
          <controlPr locked="0" defaultSize="0" autoLine="0" r:id="rId8">
            <anchor moveWithCells="1">
              <from>
                <xdr:col>11</xdr:col>
                <xdr:colOff>335280</xdr:colOff>
                <xdr:row>1</xdr:row>
                <xdr:rowOff>68580</xdr:rowOff>
              </from>
              <to>
                <xdr:col>13</xdr:col>
                <xdr:colOff>457200</xdr:colOff>
                <xdr:row>4</xdr:row>
                <xdr:rowOff>144780</xdr:rowOff>
              </to>
            </anchor>
          </controlPr>
        </control>
      </mc:Choice>
      <mc:Fallback>
        <control shapeId="1048" r:id="rId7" name="OpslaanMAilen"/>
      </mc:Fallback>
    </mc:AlternateContent>
    <mc:AlternateContent xmlns:mc="http://schemas.openxmlformats.org/markup-compatibility/2006">
      <mc:Choice Requires="x14">
        <control shapeId="1034" r:id="rId9" name="Check Box 10">
          <controlPr locked="0" defaultSize="0" autoFill="0" autoLine="0" autoPict="0">
            <anchor moveWithCells="1">
              <from>
                <xdr:col>0</xdr:col>
                <xdr:colOff>144780</xdr:colOff>
                <xdr:row>94</xdr:row>
                <xdr:rowOff>22860</xdr:rowOff>
              </from>
              <to>
                <xdr:col>4</xdr:col>
                <xdr:colOff>403860</xdr:colOff>
                <xdr:row>95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0" name="Check Box 11">
          <controlPr locked="0" defaultSize="0" autoFill="0" autoLine="0" autoPict="0">
            <anchor moveWithCells="1">
              <from>
                <xdr:col>4</xdr:col>
                <xdr:colOff>205740</xdr:colOff>
                <xdr:row>94</xdr:row>
                <xdr:rowOff>15240</xdr:rowOff>
              </from>
              <to>
                <xdr:col>5</xdr:col>
                <xdr:colOff>320040</xdr:colOff>
                <xdr:row>95</xdr:row>
                <xdr:rowOff>53340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1" name="Check Box 13">
          <controlPr locked="0" defaultSize="0" autoFill="0" autoLine="0" autoPict="0">
            <anchor moveWithCells="1">
              <from>
                <xdr:col>4</xdr:col>
                <xdr:colOff>205740</xdr:colOff>
                <xdr:row>95</xdr:row>
                <xdr:rowOff>30480</xdr:rowOff>
              </from>
              <to>
                <xdr:col>4</xdr:col>
                <xdr:colOff>1181100</xdr:colOff>
                <xdr:row>96</xdr:row>
                <xdr:rowOff>91440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2" name="Check Box 15">
          <controlPr locked="0" defaultSize="0" autoFill="0" autoLine="0" autoPict="0">
            <anchor moveWithCells="1">
              <from>
                <xdr:col>4</xdr:col>
                <xdr:colOff>213360</xdr:colOff>
                <xdr:row>93</xdr:row>
                <xdr:rowOff>0</xdr:rowOff>
              </from>
              <to>
                <xdr:col>4</xdr:col>
                <xdr:colOff>1562100</xdr:colOff>
                <xdr:row>94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3" name="Check Box 16">
          <controlPr locked="0" defaultSize="0" autoFill="0" autoLine="0" autoPict="0">
            <anchor moveWithCells="1">
              <from>
                <xdr:col>0</xdr:col>
                <xdr:colOff>152400</xdr:colOff>
                <xdr:row>97</xdr:row>
                <xdr:rowOff>152400</xdr:rowOff>
              </from>
              <to>
                <xdr:col>4</xdr:col>
                <xdr:colOff>114300</xdr:colOff>
                <xdr:row>99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4" name="Check Box 17">
          <controlPr locked="0" defaultSize="0" autoFill="0" autoLine="0" autoPict="0">
            <anchor moveWithCells="1">
              <from>
                <xdr:col>0</xdr:col>
                <xdr:colOff>152400</xdr:colOff>
                <xdr:row>95</xdr:row>
                <xdr:rowOff>91440</xdr:rowOff>
              </from>
              <to>
                <xdr:col>4</xdr:col>
                <xdr:colOff>114300</xdr:colOff>
                <xdr:row>96</xdr:row>
                <xdr:rowOff>129540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5" name="Check Box 19">
          <controlPr locked="0" defaultSize="0" autoFill="0" autoLine="0" autoPict="0">
            <anchor moveWithCells="1">
              <from>
                <xdr:col>0</xdr:col>
                <xdr:colOff>152400</xdr:colOff>
                <xdr:row>96</xdr:row>
                <xdr:rowOff>121920</xdr:rowOff>
              </from>
              <to>
                <xdr:col>4</xdr:col>
                <xdr:colOff>114300</xdr:colOff>
                <xdr:row>97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16" name="Check Box 20">
          <controlPr locked="0" defaultSize="0" autoFill="0" autoLine="0" autoPict="0" macro="[0]!Selectievakje20_Klikken">
            <anchor moveWithCells="1">
              <from>
                <xdr:col>0</xdr:col>
                <xdr:colOff>144780</xdr:colOff>
                <xdr:row>99</xdr:row>
                <xdr:rowOff>152400</xdr:rowOff>
              </from>
              <to>
                <xdr:col>4</xdr:col>
                <xdr:colOff>106680</xdr:colOff>
                <xdr:row>101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7" name="Check Box 21">
          <controlPr locked="0" defaultSize="0" autoFill="0" autoLine="0" autoPict="0">
            <anchor moveWithCells="1">
              <from>
                <xdr:col>0</xdr:col>
                <xdr:colOff>152400</xdr:colOff>
                <xdr:row>92</xdr:row>
                <xdr:rowOff>160020</xdr:rowOff>
              </from>
              <to>
                <xdr:col>4</xdr:col>
                <xdr:colOff>114300</xdr:colOff>
                <xdr:row>94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18" name="Check Box 46">
          <controlPr locked="0" defaultSize="0" autoFill="0" autoLine="0" autoPict="0">
            <anchor moveWithCells="1">
              <from>
                <xdr:col>7</xdr:col>
                <xdr:colOff>381000</xdr:colOff>
                <xdr:row>35</xdr:row>
                <xdr:rowOff>243840</xdr:rowOff>
              </from>
              <to>
                <xdr:col>8</xdr:col>
                <xdr:colOff>365760</xdr:colOff>
                <xdr:row>36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19" name="Check Box 47">
          <controlPr locked="0" defaultSize="0" autoFill="0" autoLine="0" autoPict="0">
            <anchor moveWithCells="1">
              <from>
                <xdr:col>7</xdr:col>
                <xdr:colOff>381000</xdr:colOff>
                <xdr:row>35</xdr:row>
                <xdr:rowOff>0</xdr:rowOff>
              </from>
              <to>
                <xdr:col>8</xdr:col>
                <xdr:colOff>358140</xdr:colOff>
                <xdr:row>35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20" name="Check Box 49">
          <controlPr locked="0" defaultSize="0" autoFill="0" autoLine="0" autoPict="0">
            <anchor moveWithCells="1">
              <from>
                <xdr:col>7</xdr:col>
                <xdr:colOff>381000</xdr:colOff>
                <xdr:row>39</xdr:row>
                <xdr:rowOff>22860</xdr:rowOff>
              </from>
              <to>
                <xdr:col>8</xdr:col>
                <xdr:colOff>373380</xdr:colOff>
                <xdr:row>39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21" name="Check Box 50">
          <controlPr locked="0" defaultSize="0" autoFill="0" autoLine="0" autoPict="0">
            <anchor moveWithCells="1">
              <from>
                <xdr:col>7</xdr:col>
                <xdr:colOff>373380</xdr:colOff>
                <xdr:row>38</xdr:row>
                <xdr:rowOff>0</xdr:rowOff>
              </from>
              <to>
                <xdr:col>8</xdr:col>
                <xdr:colOff>358140</xdr:colOff>
                <xdr:row>38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22" name="Check Box 52">
          <controlPr defaultSize="0" autoFill="0" autoLine="0" autoPict="0">
            <anchor moveWithCells="1">
              <from>
                <xdr:col>5</xdr:col>
                <xdr:colOff>381000</xdr:colOff>
                <xdr:row>35</xdr:row>
                <xdr:rowOff>0</xdr:rowOff>
              </from>
              <to>
                <xdr:col>5</xdr:col>
                <xdr:colOff>975360</xdr:colOff>
                <xdr:row>35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23" name="Check Box 54">
          <controlPr defaultSize="0" autoFill="0" autoLine="0" autoPict="0">
            <anchor moveWithCells="1">
              <from>
                <xdr:col>5</xdr:col>
                <xdr:colOff>381000</xdr:colOff>
                <xdr:row>37</xdr:row>
                <xdr:rowOff>0</xdr:rowOff>
              </from>
              <to>
                <xdr:col>5</xdr:col>
                <xdr:colOff>975360</xdr:colOff>
                <xdr:row>37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24" name="Check Box 55">
          <controlPr defaultSize="0" autoFill="0" autoLine="0" autoPict="0">
            <anchor moveWithCells="1">
              <from>
                <xdr:col>5</xdr:col>
                <xdr:colOff>381000</xdr:colOff>
                <xdr:row>38</xdr:row>
                <xdr:rowOff>0</xdr:rowOff>
              </from>
              <to>
                <xdr:col>5</xdr:col>
                <xdr:colOff>975360</xdr:colOff>
                <xdr:row>38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25" name="Check Box 57">
          <controlPr defaultSize="0" autoFill="0" autoLine="0" autoPict="0">
            <anchor moveWithCells="1">
              <from>
                <xdr:col>5</xdr:col>
                <xdr:colOff>381000</xdr:colOff>
                <xdr:row>39</xdr:row>
                <xdr:rowOff>0</xdr:rowOff>
              </from>
              <to>
                <xdr:col>5</xdr:col>
                <xdr:colOff>975360</xdr:colOff>
                <xdr:row>39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26" name="Check Box 60">
          <controlPr defaultSize="0" autoFill="0" autoLine="0" autoPict="0">
            <anchor moveWithCells="1">
              <from>
                <xdr:col>5</xdr:col>
                <xdr:colOff>381000</xdr:colOff>
                <xdr:row>34</xdr:row>
                <xdr:rowOff>0</xdr:rowOff>
              </from>
              <to>
                <xdr:col>5</xdr:col>
                <xdr:colOff>975360</xdr:colOff>
                <xdr:row>34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27" name="Check Box 61">
          <controlPr locked="0" defaultSize="0" autoFill="0" autoLine="0" autoPict="0" macro="[0]!Selectievakje61_Klikken">
            <anchor moveWithCells="1">
              <from>
                <xdr:col>7</xdr:col>
                <xdr:colOff>327660</xdr:colOff>
                <xdr:row>34</xdr:row>
                <xdr:rowOff>0</xdr:rowOff>
              </from>
              <to>
                <xdr:col>8</xdr:col>
                <xdr:colOff>365760</xdr:colOff>
                <xdr:row>34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28" name="Check Box 62">
          <controlPr defaultSize="0" autoFill="0" autoLine="0" autoPict="0">
            <anchor moveWithCells="1">
              <from>
                <xdr:col>4</xdr:col>
                <xdr:colOff>1219200</xdr:colOff>
                <xdr:row>73</xdr:row>
                <xdr:rowOff>76200</xdr:rowOff>
              </from>
              <to>
                <xdr:col>5</xdr:col>
                <xdr:colOff>1143000</xdr:colOff>
                <xdr:row>75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29" name="Check Box 64">
          <controlPr defaultSize="0" autoFill="0" autoLine="0" autoPict="0">
            <anchor moveWithCells="1">
              <from>
                <xdr:col>0</xdr:col>
                <xdr:colOff>510540</xdr:colOff>
                <xdr:row>50</xdr:row>
                <xdr:rowOff>53340</xdr:rowOff>
              </from>
              <to>
                <xdr:col>5</xdr:col>
                <xdr:colOff>1318260</xdr:colOff>
                <xdr:row>52</xdr:row>
                <xdr:rowOff>53340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4" r:id="rId30" name="Check Box 70">
          <controlPr defaultSize="0" autoFill="0" autoLine="0" autoPict="0">
            <anchor moveWithCells="1">
              <from>
                <xdr:col>5</xdr:col>
                <xdr:colOff>365760</xdr:colOff>
                <xdr:row>42</xdr:row>
                <xdr:rowOff>7620</xdr:rowOff>
              </from>
              <to>
                <xdr:col>5</xdr:col>
                <xdr:colOff>944880</xdr:colOff>
                <xdr:row>42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31" name="Check Box 71">
          <controlPr defaultSize="0" autoFill="0" autoLine="0" autoPict="0">
            <anchor moveWithCells="1">
              <from>
                <xdr:col>7</xdr:col>
                <xdr:colOff>312420</xdr:colOff>
                <xdr:row>42</xdr:row>
                <xdr:rowOff>7620</xdr:rowOff>
              </from>
              <to>
                <xdr:col>8</xdr:col>
                <xdr:colOff>571500</xdr:colOff>
                <xdr:row>42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32" name="Check Box 72">
          <controlPr defaultSize="0" autoFill="0" autoLine="0" autoPict="0">
            <anchor moveWithCells="1">
              <from>
                <xdr:col>5</xdr:col>
                <xdr:colOff>388620</xdr:colOff>
                <xdr:row>36</xdr:row>
                <xdr:rowOff>38100</xdr:rowOff>
              </from>
              <to>
                <xdr:col>5</xdr:col>
                <xdr:colOff>975360</xdr:colOff>
                <xdr:row>36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33" name="Check Box 73">
          <controlPr defaultSize="0" autoFill="0" autoLine="0" autoPict="0">
            <anchor moveWithCells="1">
              <from>
                <xdr:col>8</xdr:col>
                <xdr:colOff>7620</xdr:colOff>
                <xdr:row>37</xdr:row>
                <xdr:rowOff>22860</xdr:rowOff>
              </from>
              <to>
                <xdr:col>8</xdr:col>
                <xdr:colOff>388620</xdr:colOff>
                <xdr:row>38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8" r:id="rId34" name="Check Box 74">
          <controlPr defaultSize="0" autoFill="0" autoLine="0" autoPict="0">
            <anchor moveWithCells="1">
              <from>
                <xdr:col>0</xdr:col>
                <xdr:colOff>548640</xdr:colOff>
                <xdr:row>73</xdr:row>
                <xdr:rowOff>129540</xdr:rowOff>
              </from>
              <to>
                <xdr:col>4</xdr:col>
                <xdr:colOff>487680</xdr:colOff>
                <xdr:row>75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4" r:id="rId35" name="Check Box 80">
          <controlPr defaultSize="0" autoFill="0" autoLine="0" autoPict="0">
            <anchor moveWithCells="1">
              <from>
                <xdr:col>0</xdr:col>
                <xdr:colOff>137160</xdr:colOff>
                <xdr:row>135</xdr:row>
                <xdr:rowOff>53340</xdr:rowOff>
              </from>
              <to>
                <xdr:col>4</xdr:col>
                <xdr:colOff>518160</xdr:colOff>
                <xdr:row>136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36" name="Check Box 81">
          <controlPr defaultSize="0" autoFill="0" autoLine="0" autoPict="0">
            <anchor moveWithCells="1">
              <from>
                <xdr:col>4</xdr:col>
                <xdr:colOff>556260</xdr:colOff>
                <xdr:row>135</xdr:row>
                <xdr:rowOff>68580</xdr:rowOff>
              </from>
              <to>
                <xdr:col>5</xdr:col>
                <xdr:colOff>487680</xdr:colOff>
                <xdr:row>136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" r:id="rId37" name="Check Box 82">
          <controlPr defaultSize="0" autoFill="0" autoLine="0" autoPict="0">
            <anchor moveWithCells="1">
              <from>
                <xdr:col>0</xdr:col>
                <xdr:colOff>137160</xdr:colOff>
                <xdr:row>136</xdr:row>
                <xdr:rowOff>60960</xdr:rowOff>
              </from>
              <to>
                <xdr:col>4</xdr:col>
                <xdr:colOff>304800</xdr:colOff>
                <xdr:row>137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38" name="Check Box 83">
          <controlPr defaultSize="0" autoFill="0" autoLine="0" autoPict="0">
            <anchor moveWithCells="1">
              <from>
                <xdr:col>0</xdr:col>
                <xdr:colOff>137160</xdr:colOff>
                <xdr:row>137</xdr:row>
                <xdr:rowOff>60960</xdr:rowOff>
              </from>
              <to>
                <xdr:col>2</xdr:col>
                <xdr:colOff>152400</xdr:colOff>
                <xdr:row>138</xdr:row>
                <xdr:rowOff>99060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8" r:id="rId39" name="Check Box 84">
          <controlPr defaultSize="0" autoFill="0" autoLine="0" autoPict="0">
            <anchor moveWithCells="1">
              <from>
                <xdr:col>0</xdr:col>
                <xdr:colOff>137160</xdr:colOff>
                <xdr:row>138</xdr:row>
                <xdr:rowOff>68580</xdr:rowOff>
              </from>
              <to>
                <xdr:col>2</xdr:col>
                <xdr:colOff>144780</xdr:colOff>
                <xdr:row>139</xdr:row>
                <xdr:rowOff>91440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9" r:id="rId40" name="Check Box 85">
          <controlPr defaultSize="0" autoFill="0" autoLine="0" autoPict="0">
            <anchor moveWithCells="1">
              <from>
                <xdr:col>4</xdr:col>
                <xdr:colOff>556260</xdr:colOff>
                <xdr:row>137</xdr:row>
                <xdr:rowOff>60960</xdr:rowOff>
              </from>
              <to>
                <xdr:col>5</xdr:col>
                <xdr:colOff>579120</xdr:colOff>
                <xdr:row>138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91F4FA6-CD1E-4A53-93F1-694A2D7519BF}">
          <x14:formula1>
            <xm:f>Blad2!$A$19:$A$22</xm:f>
          </x14:formula1>
          <xm:sqref>B77:D91 B55:D71</xm:sqref>
        </x14:dataValidation>
        <x14:dataValidation type="list" allowBlank="1" showInputMessage="1" showErrorMessage="1" xr:uid="{05F6A4A2-4B6C-420B-AC5B-9335D5AF815B}">
          <x14:formula1>
            <xm:f>Blad2!$A$44:$A$47</xm:f>
          </x14:formula1>
          <xm:sqref>C19</xm:sqref>
        </x14:dataValidation>
        <x14:dataValidation type="list" allowBlank="1" showInputMessage="1" showErrorMessage="1" xr:uid="{EB1C7633-76B4-4DA0-951F-CB702929A101}">
          <x14:formula1>
            <xm:f>Blad2!$A$53:$A$61</xm:f>
          </x14:formula1>
          <xm:sqref>F77:F91</xm:sqref>
        </x14:dataValidation>
        <x14:dataValidation type="list" allowBlank="1" showInputMessage="1" showErrorMessage="1" xr:uid="{A5AEB7B8-A808-4B5C-B0EA-C3AE35F5AFAD}">
          <x14:formula1>
            <xm:f>Blad2!$A$49:$A$51</xm:f>
          </x14:formula1>
          <xm:sqref>F55:F71</xm:sqref>
        </x14:dataValidation>
        <x14:dataValidation type="list" allowBlank="1" showInputMessage="1" showErrorMessage="1" xr:uid="{233CB442-6DB5-4166-AE0D-01712FC01174}">
          <x14:formula1>
            <xm:f>Blad2!$A$24:$A$28</xm:f>
          </x14:formula1>
          <xm:sqref>A107:B128</xm:sqref>
        </x14:dataValidation>
        <x14:dataValidation type="list" allowBlank="1" showInputMessage="1" showErrorMessage="1" xr:uid="{EAC15A40-D072-4CE2-AFE0-71B9B2E3F21B}">
          <x14:formula1>
            <xm:f>Blad2!$A$30:$A$42</xm:f>
          </x14:formula1>
          <xm:sqref>F107:F128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A80A5-17C9-4B06-BC9C-54CDDDB9162C}">
  <sheetPr codeName="Blad2"/>
  <dimension ref="A1:F72"/>
  <sheetViews>
    <sheetView topLeftCell="A46" workbookViewId="0">
      <selection activeCell="B73" sqref="B73"/>
    </sheetView>
  </sheetViews>
  <sheetFormatPr defaultRowHeight="14.4" x14ac:dyDescent="0.3"/>
  <cols>
    <col min="1" max="1" width="32.21875" bestFit="1" customWidth="1"/>
    <col min="2" max="2" width="10.33203125" bestFit="1" customWidth="1"/>
    <col min="3" max="3" width="9.77734375" bestFit="1" customWidth="1"/>
  </cols>
  <sheetData>
    <row r="1" spans="1:6" x14ac:dyDescent="0.3">
      <c r="A1" t="s">
        <v>42</v>
      </c>
      <c r="B1" t="str">
        <f>RIGHT(Dienstnota!E19,1)</f>
        <v>1</v>
      </c>
      <c r="E1" s="13">
        <v>0.95833333333333337</v>
      </c>
      <c r="F1" s="13">
        <v>0.96527777777777779</v>
      </c>
    </row>
    <row r="2" spans="1:6" x14ac:dyDescent="0.3">
      <c r="A2" t="s">
        <v>43</v>
      </c>
      <c r="B2" s="12" t="b">
        <v>1</v>
      </c>
      <c r="C2" t="str">
        <f>IF(B2=TRUE,"1","0")</f>
        <v>1</v>
      </c>
      <c r="D2" t="b">
        <v>0</v>
      </c>
      <c r="E2" s="13">
        <v>0.96527777777777779</v>
      </c>
      <c r="F2" s="13">
        <v>0.97222222222222221</v>
      </c>
    </row>
    <row r="3" spans="1:6" x14ac:dyDescent="0.3">
      <c r="E3" s="13">
        <v>0.97222222222222221</v>
      </c>
      <c r="F3" s="13">
        <v>0.97916666666666663</v>
      </c>
    </row>
    <row r="4" spans="1:6" x14ac:dyDescent="0.3">
      <c r="E4" s="13">
        <v>0.97916666666666663</v>
      </c>
      <c r="F4" s="13">
        <v>0.98611111111111116</v>
      </c>
    </row>
    <row r="5" spans="1:6" x14ac:dyDescent="0.3">
      <c r="E5" s="13">
        <v>0.98611111111111116</v>
      </c>
      <c r="F5" s="13">
        <v>0.99305555555555547</v>
      </c>
    </row>
    <row r="7" spans="1:6" x14ac:dyDescent="0.3">
      <c r="A7" t="s">
        <v>44</v>
      </c>
      <c r="B7" t="str">
        <f>IF(AND(Dienstnota!F27&gt;Blad2!D7,Dienstnota!F27&lt;Blad2!D8),"Dagwerk","Nachtwerk")</f>
        <v>Nachtwerk</v>
      </c>
      <c r="D7" s="13">
        <v>0.25</v>
      </c>
    </row>
    <row r="8" spans="1:6" x14ac:dyDescent="0.3">
      <c r="D8" s="13">
        <v>0.83263888888888893</v>
      </c>
    </row>
    <row r="10" spans="1:6" x14ac:dyDescent="0.3">
      <c r="A10" t="s">
        <v>45</v>
      </c>
      <c r="B10">
        <f>Dienstnota!F26-Dienstnota!F25</f>
        <v>1</v>
      </c>
    </row>
    <row r="12" spans="1:6" x14ac:dyDescent="0.3">
      <c r="A12" t="s">
        <v>72</v>
      </c>
      <c r="B12" t="b">
        <v>0</v>
      </c>
      <c r="C12" t="b">
        <v>1</v>
      </c>
      <c r="D12" t="str">
        <f>IF(Dienstnota!A107&gt;"","WAAR","ONWAAR")</f>
        <v>WAAR</v>
      </c>
    </row>
    <row r="13" spans="1:6" x14ac:dyDescent="0.3">
      <c r="A13" t="s">
        <v>46</v>
      </c>
      <c r="B13" t="b">
        <v>1</v>
      </c>
      <c r="C13" t="b">
        <v>0</v>
      </c>
    </row>
    <row r="14" spans="1:6" x14ac:dyDescent="0.3">
      <c r="A14" t="s">
        <v>47</v>
      </c>
      <c r="B14" t="b">
        <v>1</v>
      </c>
      <c r="C14" t="b">
        <v>0</v>
      </c>
    </row>
    <row r="15" spans="1:6" x14ac:dyDescent="0.3">
      <c r="A15" t="s">
        <v>48</v>
      </c>
      <c r="B15" t="b">
        <v>0</v>
      </c>
      <c r="C15" t="b">
        <v>1</v>
      </c>
    </row>
    <row r="16" spans="1:6" x14ac:dyDescent="0.3">
      <c r="A16" t="s">
        <v>49</v>
      </c>
      <c r="B16" t="b">
        <v>1</v>
      </c>
      <c r="C16" t="b">
        <v>0</v>
      </c>
    </row>
    <row r="19" spans="1:1" x14ac:dyDescent="0.3">
      <c r="A19" t="s">
        <v>89</v>
      </c>
    </row>
    <row r="20" spans="1:1" x14ac:dyDescent="0.3">
      <c r="A20" t="s">
        <v>52</v>
      </c>
    </row>
    <row r="21" spans="1:1" x14ac:dyDescent="0.3">
      <c r="A21" t="s">
        <v>53</v>
      </c>
    </row>
    <row r="22" spans="1:1" x14ac:dyDescent="0.3">
      <c r="A22" t="s">
        <v>55</v>
      </c>
    </row>
    <row r="24" spans="1:1" x14ac:dyDescent="0.3">
      <c r="A24" t="s">
        <v>88</v>
      </c>
    </row>
    <row r="25" spans="1:1" x14ac:dyDescent="0.3">
      <c r="A25" t="s">
        <v>55</v>
      </c>
    </row>
    <row r="26" spans="1:1" x14ac:dyDescent="0.3">
      <c r="A26" t="s">
        <v>61</v>
      </c>
    </row>
    <row r="27" spans="1:1" x14ac:dyDescent="0.3">
      <c r="A27" t="s">
        <v>96</v>
      </c>
    </row>
    <row r="28" spans="1:1" x14ac:dyDescent="0.3">
      <c r="A28" t="s">
        <v>86</v>
      </c>
    </row>
    <row r="30" spans="1:1" x14ac:dyDescent="0.3">
      <c r="A30" t="s">
        <v>95</v>
      </c>
    </row>
    <row r="31" spans="1:1" x14ac:dyDescent="0.3">
      <c r="A31" t="s">
        <v>66</v>
      </c>
    </row>
    <row r="32" spans="1:1" x14ac:dyDescent="0.3">
      <c r="A32" t="s">
        <v>67</v>
      </c>
    </row>
    <row r="33" spans="1:1" x14ac:dyDescent="0.3">
      <c r="A33" t="s">
        <v>87</v>
      </c>
    </row>
    <row r="34" spans="1:1" x14ac:dyDescent="0.3">
      <c r="A34" t="s">
        <v>100</v>
      </c>
    </row>
    <row r="35" spans="1:1" x14ac:dyDescent="0.3">
      <c r="A35" t="s">
        <v>111</v>
      </c>
    </row>
    <row r="36" spans="1:1" x14ac:dyDescent="0.3">
      <c r="A36" t="s">
        <v>98</v>
      </c>
    </row>
    <row r="37" spans="1:1" x14ac:dyDescent="0.3">
      <c r="A37" t="s">
        <v>101</v>
      </c>
    </row>
    <row r="38" spans="1:1" x14ac:dyDescent="0.3">
      <c r="A38" t="s">
        <v>62</v>
      </c>
    </row>
    <row r="39" spans="1:1" x14ac:dyDescent="0.3">
      <c r="A39" t="s">
        <v>94</v>
      </c>
    </row>
    <row r="40" spans="1:1" x14ac:dyDescent="0.3">
      <c r="A40" t="s">
        <v>63</v>
      </c>
    </row>
    <row r="41" spans="1:1" x14ac:dyDescent="0.3">
      <c r="A41" t="s">
        <v>116</v>
      </c>
    </row>
    <row r="42" spans="1:1" x14ac:dyDescent="0.3">
      <c r="A42" t="s">
        <v>97</v>
      </c>
    </row>
    <row r="44" spans="1:1" x14ac:dyDescent="0.3">
      <c r="A44" t="s">
        <v>70</v>
      </c>
    </row>
    <row r="45" spans="1:1" x14ac:dyDescent="0.3">
      <c r="A45" t="s">
        <v>50</v>
      </c>
    </row>
    <row r="46" spans="1:1" x14ac:dyDescent="0.3">
      <c r="A46" t="s">
        <v>92</v>
      </c>
    </row>
    <row r="47" spans="1:1" x14ac:dyDescent="0.3">
      <c r="A47" t="s">
        <v>71</v>
      </c>
    </row>
    <row r="49" spans="1:1" x14ac:dyDescent="0.3">
      <c r="A49" t="s">
        <v>76</v>
      </c>
    </row>
    <row r="50" spans="1:1" x14ac:dyDescent="0.3">
      <c r="A50" t="s">
        <v>74</v>
      </c>
    </row>
    <row r="51" spans="1:1" x14ac:dyDescent="0.3">
      <c r="A51" t="s">
        <v>75</v>
      </c>
    </row>
    <row r="53" spans="1:1" x14ac:dyDescent="0.3">
      <c r="A53" t="s">
        <v>90</v>
      </c>
    </row>
    <row r="54" spans="1:1" x14ac:dyDescent="0.3">
      <c r="A54" t="s">
        <v>91</v>
      </c>
    </row>
    <row r="55" spans="1:1" x14ac:dyDescent="0.3">
      <c r="A55" t="s">
        <v>77</v>
      </c>
    </row>
    <row r="56" spans="1:1" x14ac:dyDescent="0.3">
      <c r="A56" t="s">
        <v>78</v>
      </c>
    </row>
    <row r="57" spans="1:1" x14ac:dyDescent="0.3">
      <c r="A57" t="s">
        <v>81</v>
      </c>
    </row>
    <row r="58" spans="1:1" x14ac:dyDescent="0.3">
      <c r="A58" t="s">
        <v>98</v>
      </c>
    </row>
    <row r="59" spans="1:1" x14ac:dyDescent="0.3">
      <c r="A59" t="s">
        <v>117</v>
      </c>
    </row>
    <row r="60" spans="1:1" x14ac:dyDescent="0.3">
      <c r="A60" t="s">
        <v>79</v>
      </c>
    </row>
    <row r="61" spans="1:1" x14ac:dyDescent="0.3">
      <c r="A61" t="s">
        <v>80</v>
      </c>
    </row>
    <row r="64" spans="1:1" x14ac:dyDescent="0.3">
      <c r="A64" t="s">
        <v>105</v>
      </c>
    </row>
    <row r="65" spans="1:2" x14ac:dyDescent="0.3">
      <c r="A65" t="s">
        <v>106</v>
      </c>
      <c r="B65" t="b">
        <f>IF(Dienstnota!$A$107&gt;"",TRUE,FALSE)</f>
        <v>1</v>
      </c>
    </row>
    <row r="66" spans="1:2" x14ac:dyDescent="0.3">
      <c r="A66" t="s">
        <v>98</v>
      </c>
      <c r="B66" t="b">
        <f>IF(Dienstnota!$A$107&gt;"",TRUE,FALSE)</f>
        <v>1</v>
      </c>
    </row>
    <row r="67" spans="1:2" x14ac:dyDescent="0.3">
      <c r="A67" t="s">
        <v>95</v>
      </c>
      <c r="B67" t="b">
        <f>IF(Dienstnota!$A$107&gt;"",TRUE,FALSE)</f>
        <v>1</v>
      </c>
    </row>
    <row r="68" spans="1:2" x14ac:dyDescent="0.3">
      <c r="A68" t="s">
        <v>107</v>
      </c>
      <c r="B68" t="b">
        <f>IF(Dienstnota!$A$107&gt;"",TRUE,FALSE)</f>
        <v>1</v>
      </c>
    </row>
    <row r="69" spans="1:2" x14ac:dyDescent="0.3">
      <c r="A69" t="s">
        <v>108</v>
      </c>
      <c r="B69" t="b">
        <f>IF(Dienstnota!$A$107&gt;"",TRUE,FALSE)</f>
        <v>1</v>
      </c>
    </row>
    <row r="71" spans="1:2" x14ac:dyDescent="0.3">
      <c r="A71" t="s">
        <v>109</v>
      </c>
    </row>
    <row r="72" spans="1:2" x14ac:dyDescent="0.3">
      <c r="A72" t="s">
        <v>110</v>
      </c>
      <c r="B72" t="b">
        <f>IF(Dienstnota!A55&gt;"",TRUE,FALSE)</f>
        <v>0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>
      <Value>72</Value>
    </TaxCatchAll>
    <_Archiveren xmlns="7c39ca50-98bd-4160-b872-a8563b4a0b41">false</_Archiveren>
    <d187ea9943c74999a389115afa0f735e xmlns="7c39ca50-98bd-4160-b872-a8563b4a0b41">
      <Terms xmlns="http://schemas.microsoft.com/office/infopath/2007/PartnerControls">
        <TermInfo xmlns="http://schemas.microsoft.com/office/infopath/2007/PartnerControls">
          <TermName xmlns="http://schemas.microsoft.com/office/infopath/2007/PartnerControls">formulier</TermName>
          <TermId xmlns="http://schemas.microsoft.com/office/infopath/2007/PartnerControls">3bb862f8-4137-4f65-91fd-3d5b744dc22f</TermId>
        </TermInfo>
      </Terms>
    </d187ea9943c74999a389115afa0f735e>
    <Datum xmlns="7c39ca50-98bd-4160-b872-a8563b4a0b41" xsi:nil="true"/>
    <lcf76f155ced4ddcb4097134ff3c332f xmlns="e40dcfe2-dc26-40dd-9c4f-16483bfd3ce5">
      <Terms xmlns="http://schemas.microsoft.com/office/infopath/2007/PartnerControls"/>
    </lcf76f155ced4ddcb4097134ff3c332f>
    <m08f771f53fc4bc7991acb7ee15ea60b xmlns="2a87caa2-4d9b-4d60-9b79-c9e43fb8b2b6">
      <Terms xmlns="http://schemas.microsoft.com/office/infopath/2007/PartnerControls"/>
    </m08f771f53fc4bc7991acb7ee15ea60b>
    <oeadc1543f8f4e0f9eb39c03e4a0576d xmlns="2a87caa2-4d9b-4d60-9b79-c9e43fb8b2b6">
      <Terms xmlns="http://schemas.microsoft.com/office/infopath/2007/PartnerControls"/>
    </oeadc1543f8f4e0f9eb39c03e4a0576d>
    <Projecten xmlns="e40dcfe2-dc26-40dd-9c4f-16483bfd3ce5" xsi:nil="true"/>
    <d1646272eb9f4659a95209a83e59c3b9 xmlns="2a87caa2-4d9b-4d60-9b79-c9e43fb8b2b6">
      <Terms xmlns="http://schemas.microsoft.com/office/infopath/2007/PartnerControls"/>
    </d1646272eb9f4659a95209a83e59c3b9>
    <Jaar xmlns="e40dcfe2-dc26-40dd-9c4f-16483bfd3ce5" xsi:nil="true"/>
    <SharedWithUsers xmlns="2a87caa2-4d9b-4d60-9b79-c9e43fb8b2b6">
      <UserInfo>
        <DisplayName>Natalja Tatarinova</DisplayName>
        <AccountId>10</AccountId>
        <AccountType/>
      </UserInfo>
      <UserInfo>
        <DisplayName>Gino Henderyck</DisplayName>
        <AccountId>22</AccountId>
        <AccountType/>
      </UserInfo>
    </SharedWithUsers>
    <MediaLengthInSeconds xmlns="e40dcfe2-dc26-40dd-9c4f-16483bfd3ce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67C634EC09064F81A875D90F9A380D" ma:contentTypeVersion="30" ma:contentTypeDescription="Een nieuw document maken." ma:contentTypeScope="" ma:versionID="5e40366274ea27e96fa372fafdb18740">
  <xsd:schema xmlns:xsd="http://www.w3.org/2001/XMLSchema" xmlns:xs="http://www.w3.org/2001/XMLSchema" xmlns:p="http://schemas.microsoft.com/office/2006/metadata/properties" xmlns:ns2="2a87caa2-4d9b-4d60-9b79-c9e43fb8b2b6" xmlns:ns3="7c39ca50-98bd-4160-b872-a8563b4a0b41" xmlns:ns4="e40dcfe2-dc26-40dd-9c4f-16483bfd3ce5" targetNamespace="http://schemas.microsoft.com/office/2006/metadata/properties" ma:root="true" ma:fieldsID="cb062dfe22189c1d4568bd82e5019ba8" ns2:_="" ns3:_="" ns4:_="">
    <xsd:import namespace="2a87caa2-4d9b-4d60-9b79-c9e43fb8b2b6"/>
    <xsd:import namespace="7c39ca50-98bd-4160-b872-a8563b4a0b41"/>
    <xsd:import namespace="e40dcfe2-dc26-40dd-9c4f-16483bfd3ce5"/>
    <xsd:element name="properties">
      <xsd:complexType>
        <xsd:sequence>
          <xsd:element name="documentManagement">
            <xsd:complexType>
              <xsd:all>
                <xsd:element ref="ns2:m08f771f53fc4bc7991acb7ee15ea60b" minOccurs="0"/>
                <xsd:element ref="ns3:TaxCatchAll" minOccurs="0"/>
                <xsd:element ref="ns4:MediaServiceMetadata" minOccurs="0"/>
                <xsd:element ref="ns4:MediaServiceFastMetadata" minOccurs="0"/>
                <xsd:element ref="ns4:MediaServiceObjectDetectorVersions" minOccurs="0"/>
                <xsd:element ref="ns3:d187ea9943c74999a389115afa0f735e" minOccurs="0"/>
                <xsd:element ref="ns3:Datum" minOccurs="0"/>
                <xsd:element ref="ns3:_Archiveren" minOccurs="0"/>
                <xsd:element ref="ns2:oeadc1543f8f4e0f9eb39c03e4a0576d" minOccurs="0"/>
                <xsd:element ref="ns4:MediaServiceDateTaken" minOccurs="0"/>
                <xsd:element ref="ns4:MediaLengthInSeconds" minOccurs="0"/>
                <xsd:element ref="ns4:lcf76f155ced4ddcb4097134ff3c332f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Projecten" minOccurs="0"/>
                <xsd:element ref="ns2:SharedWithUsers" minOccurs="0"/>
                <xsd:element ref="ns2:SharedWithDetails" minOccurs="0"/>
                <xsd:element ref="ns2:d1646272eb9f4659a95209a83e59c3b9" minOccurs="0"/>
                <xsd:element ref="ns4:MediaServiceLocation" minOccurs="0"/>
                <xsd:element ref="ns4:Jaar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87caa2-4d9b-4d60-9b79-c9e43fb8b2b6" elementFormDefault="qualified">
    <xsd:import namespace="http://schemas.microsoft.com/office/2006/documentManagement/types"/>
    <xsd:import namespace="http://schemas.microsoft.com/office/infopath/2007/PartnerControls"/>
    <xsd:element name="m08f771f53fc4bc7991acb7ee15ea60b" ma:index="9" nillable="true" ma:taxonomy="true" ma:internalName="m08f771f53fc4bc7991acb7ee15ea60b" ma:taxonomyFieldName="Installatie" ma:displayName="Installatie" ma:default="" ma:fieldId="{608f771f-53fc-4bc7-991a-cb7ee15ea60b}" ma:taxonomyMulti="true" ma:sspId="2ceb87b1-9875-4121-b096-5d1f2ece7426" ma:termSetId="db282966-f20a-4f7d-aa65-786579f2d4d9" ma:anchorId="3430fcd9-e84b-432c-9606-443228f21f59" ma:open="true" ma:isKeyword="false">
      <xsd:complexType>
        <xsd:sequence>
          <xsd:element ref="pc:Terms" minOccurs="0" maxOccurs="1"/>
        </xsd:sequence>
      </xsd:complexType>
    </xsd:element>
    <xsd:element name="oeadc1543f8f4e0f9eb39c03e4a0576d" ma:index="19" nillable="true" ma:taxonomy="true" ma:internalName="oeadc1543f8f4e0f9eb39c03e4a0576d" ma:taxonomyFieldName="_Onderwerp" ma:displayName="_Onderwerp" ma:default="" ma:fieldId="{8eadc154-3f8f-4e0f-9eb3-9c03e4a0576d}" ma:sspId="2ceb87b1-9875-4121-b096-5d1f2ece7426" ma:termSetId="db282966-f20a-4f7d-aa65-786579f2d4d9" ma:anchorId="55c21e67-3569-4040-a11a-f9220129a082" ma:open="true" ma:isKeyword="false">
      <xsd:complexType>
        <xsd:sequence>
          <xsd:element ref="pc:Terms" minOccurs="0" maxOccurs="1"/>
        </xsd:sequence>
      </xsd:complexType>
    </xsd:element>
    <xsd:element name="SharedWithUsers" ma:index="3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d1646272eb9f4659a95209a83e59c3b9" ma:index="33" nillable="true" ma:taxonomy="true" ma:internalName="d1646272eb9f4659a95209a83e59c3b9" ma:taxonomyFieldName="_Locatie" ma:displayName="_Locatie" ma:readOnly="false" ma:default="" ma:fieldId="{d1646272-eb9f-4659-a952-09a83e59c3b9}" ma:sspId="2ceb87b1-9875-4121-b096-5d1f2ece7426" ma:termSetId="b438bdb5-78e2-4850-95be-b1f324c6392c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83fdfd8e-2a05-4c2c-a794-b17f9da297ed}" ma:internalName="TaxCatchAll" ma:showField="CatchAllData" ma:web="2a87caa2-4d9b-4d60-9b79-c9e43fb8b2b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d187ea9943c74999a389115afa0f735e" ma:index="15" nillable="true" ma:taxonomy="true" ma:internalName="d187ea9943c74999a389115afa0f735e" ma:taxonomyFieldName="_SoortDocument" ma:displayName="_Soort Document" ma:default="" ma:fieldId="{d187ea99-43c7-4999-a389-115afa0f735e}" ma:sspId="2ceb87b1-9875-4121-b096-5d1f2ece7426" ma:termSetId="7fb89aed-9653-4c43-b44e-6eae3164a17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atum" ma:index="16" nillable="true" ma:displayName="_Datum" ma:description="generieke datum" ma:format="DateOnly" ma:internalName="Datum">
      <xsd:simpleType>
        <xsd:restriction base="dms:DateTime"/>
      </xsd:simpleType>
    </xsd:element>
    <xsd:element name="_Archiveren" ma:index="17" nillable="true" ma:displayName="_Archiveren" ma:default="0" ma:indexed="true" ma:internalName="_Archiveren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0dcfe2-dc26-40dd-9c4f-16483bfd3c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Afbeelding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8" nillable="true" ma:displayName="MediaServiceEventHashCode" ma:hidden="true" ma:internalName="MediaServiceEventHashCode" ma:readOnly="true">
      <xsd:simpleType>
        <xsd:restriction base="dms:Text"/>
      </xsd:simpleType>
    </xsd:element>
    <xsd:element name="Projecten" ma:index="29" nillable="true" ma:displayName="Projecten" ma:description="Projecten door TEMU" ma:format="Dropdown" ma:internalName="Projecten">
      <xsd:simpleType>
        <xsd:restriction base="dms:Choice">
          <xsd:enumeration value="DN1"/>
          <xsd:enumeration value="GH1"/>
          <xsd:enumeration value="GH2"/>
        </xsd:restriction>
      </xsd:simpleType>
    </xsd:element>
    <xsd:element name="MediaServiceLocation" ma:index="34" nillable="true" ma:displayName="Location" ma:indexed="true" ma:internalName="MediaServiceLocation" ma:readOnly="true">
      <xsd:simpleType>
        <xsd:restriction base="dms:Text"/>
      </xsd:simpleType>
    </xsd:element>
    <xsd:element name="Jaar" ma:index="35" nillable="true" ma:displayName="Jaar" ma:format="DateOnly" ma:internalName="Jaar">
      <xsd:simpleType>
        <xsd:restriction base="dms:DateTime"/>
      </xsd:simpleType>
    </xsd:element>
    <xsd:element name="MediaServiceSearchProperties" ma:index="3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3ECBE3F-B231-436D-833A-2D0C36C373BB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2a87caa2-4d9b-4d60-9b79-c9e43fb8b2b6"/>
    <ds:schemaRef ds:uri="http://schemas.microsoft.com/office/2006/metadata/properties"/>
    <ds:schemaRef ds:uri="http://purl.org/dc/terms/"/>
    <ds:schemaRef ds:uri="7c39ca50-98bd-4160-b872-a8563b4a0b41"/>
    <ds:schemaRef ds:uri="http://schemas.openxmlformats.org/package/2006/metadata/core-properties"/>
    <ds:schemaRef ds:uri="e40dcfe2-dc26-40dd-9c4f-16483bfd3ce5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F3077A9-3778-446C-A6BD-CD202DE3066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A3500EF-43E2-4843-ADEA-F255753524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87caa2-4d9b-4d60-9b79-c9e43fb8b2b6"/>
    <ds:schemaRef ds:uri="7c39ca50-98bd-4160-b872-a8563b4a0b41"/>
    <ds:schemaRef ds:uri="e40dcfe2-dc26-40dd-9c4f-16483bfd3c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Dienstnota</vt:lpstr>
      <vt:lpstr>Blad2</vt:lpstr>
      <vt:lpstr>Dienstnota!Print_Area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Gino Henderyck</dc:creator>
  <cp:keywords/>
  <dc:description/>
  <cp:lastModifiedBy>Bram Wuyts</cp:lastModifiedBy>
  <cp:revision/>
  <cp:lastPrinted>2024-03-25T07:01:25Z</cp:lastPrinted>
  <dcterms:created xsi:type="dcterms:W3CDTF">2022-09-29T12:11:15Z</dcterms:created>
  <dcterms:modified xsi:type="dcterms:W3CDTF">2024-04-29T08:02:28Z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0x010100D067C634EC09064F81A875D90F9A380D</vt:lpwstr>
  </property>
  <property fmtid="{D5CDD505-2E9C-101B-9397-08002B2CF9AE}" pid="3" name="_Locatie">
    <vt:lpwstr/>
  </property>
  <property fmtid="{D5CDD505-2E9C-101B-9397-08002B2CF9AE}" pid="4" name="MediaServiceImageTags">
    <vt:lpwstr/>
  </property>
  <property fmtid="{D5CDD505-2E9C-101B-9397-08002B2CF9AE}" pid="5" name="_SoortDocument">
    <vt:lpwstr>72;#formulier|3bb862f8-4137-4f65-91fd-3d5b744dc22f</vt:lpwstr>
  </property>
  <property fmtid="{D5CDD505-2E9C-101B-9397-08002B2CF9AE}" pid="6" name="_BusinessUnit">
    <vt:lpwstr/>
  </property>
  <property fmtid="{D5CDD505-2E9C-101B-9397-08002B2CF9AE}" pid="7" name="_Onderwerp">
    <vt:lpwstr/>
  </property>
  <property fmtid="{D5CDD505-2E9C-101B-9397-08002B2CF9AE}" pid="8" name="Installatie">
    <vt:lpwstr/>
  </property>
</Properties>
</file>